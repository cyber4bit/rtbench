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8"/>
  </bookViews>
  <sheets>
    <sheet name="Table Caption" sheetId="2" r:id="rId1"/>
    <sheet name="Table S1" sheetId="8" r:id="rId2"/>
    <sheet name="Table S2" sheetId="1" r:id="rId3"/>
    <sheet name="Table S3" sheetId="3" r:id="rId4"/>
    <sheet name="Table S4" sheetId="4" r:id="rId5"/>
    <sheet name="Table S5" sheetId="5" r:id="rId6"/>
    <sheet name="Table S6" sheetId="6" r:id="rId7"/>
    <sheet name="Table S7" sheetId="7" r:id="rId8"/>
    <sheet name="Table S8" sheetId="9" r:id="rId9"/>
  </sheets>
  <definedNames>
    <definedName name="_xlnm._FilterDatabase" localSheetId="3" hidden="1">'Table S3'!$A$2:$AY$18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<sst xmlns="http://schemas.openxmlformats.org/spreadsheetml/2006/main" count="1127" uniqueCount="710">
  <si>
    <t>Figures</t>
  </si>
  <si>
    <t>Caption</t>
  </si>
  <si>
    <t>Table S1</t>
  </si>
  <si>
    <t>Detailed experimental conditions of the applied 28 datasets</t>
  </si>
  <si>
    <t>Table S2</t>
  </si>
  <si>
    <t>Comparison results of multi-task learning, task specific modeling and global modeling on the 14 RPLC datasets</t>
  </si>
  <si>
    <t>Table S3</t>
  </si>
  <si>
    <t>Comparison results of multi-task learning, task specific modeling and global modeling on the 14 HILIC datasets</t>
  </si>
  <si>
    <t>Table S4</t>
  </si>
  <si>
    <t>Comparison results between multi-task learning (Uni-RT) and SOTA methods on 14 RPLC datasets</t>
  </si>
  <si>
    <t>Table S5</t>
  </si>
  <si>
    <t>Comparison results between multi-task learning (Uni-RT) and SOTA methods on 14 HILIC datasets</t>
  </si>
  <si>
    <t>Table S6</t>
  </si>
  <si>
    <t>Ablation study results on 14 RPLC datasets</t>
  </si>
  <si>
    <t>Table S7</t>
  </si>
  <si>
    <t>Ablation study results on 14 HILIC datasets</t>
  </si>
  <si>
    <t>Table S8</t>
  </si>
  <si>
    <t>Details of the external test set: Metabolite identification with RT prediction</t>
  </si>
  <si>
    <t>id</t>
  </si>
  <si>
    <t>column.name</t>
  </si>
  <si>
    <t>column.length</t>
  </si>
  <si>
    <t>column.id</t>
  </si>
  <si>
    <t>column.particle.size</t>
  </si>
  <si>
    <t>column.temperature</t>
  </si>
  <si>
    <t>column.flowrate</t>
  </si>
  <si>
    <t>column.t0</t>
  </si>
  <si>
    <t>eluent.A.h2o</t>
  </si>
  <si>
    <t>eluent.A.meoh</t>
  </si>
  <si>
    <t>eluent.A.acn</t>
  </si>
  <si>
    <t>eluent.A.iproh</t>
  </si>
  <si>
    <t>eluent.A.acetone</t>
  </si>
  <si>
    <t>eluent.A.hex</t>
  </si>
  <si>
    <t>eluent.A.chcl3</t>
  </si>
  <si>
    <t>eluent.A.ch2cl2</t>
  </si>
  <si>
    <t>eluent.A.hept</t>
  </si>
  <si>
    <t>eluent.A.formic</t>
  </si>
  <si>
    <t>eluent.A.formic.unit</t>
  </si>
  <si>
    <t>eluent.A.acetic</t>
  </si>
  <si>
    <t>eluent.A.acetic.unit</t>
  </si>
  <si>
    <t>eluent.A.trifluoroacetic</t>
  </si>
  <si>
    <t>eluent.A.trifluoroacetic.unit</t>
  </si>
  <si>
    <t>eluent.A.phosphor</t>
  </si>
  <si>
    <t>eluent.A.phosphor.unit</t>
  </si>
  <si>
    <t>eluent.A.nh4ac</t>
  </si>
  <si>
    <t>eluent.A.nh4ac.unit</t>
  </si>
  <si>
    <t>eluent.A.nh4form</t>
  </si>
  <si>
    <t>eluent.A.nh4form.unit</t>
  </si>
  <si>
    <t>eluent.A.nh4carb</t>
  </si>
  <si>
    <t>eluent.A.nh4carb.unit</t>
  </si>
  <si>
    <t>eluent.A.nh4bicarb</t>
  </si>
  <si>
    <t>eluent.A.nh4bicarb.unit</t>
  </si>
  <si>
    <t>eluent.A.nh4f</t>
  </si>
  <si>
    <t>eluent.A.nh4f.unit</t>
  </si>
  <si>
    <t>eluent.A.nh4oh</t>
  </si>
  <si>
    <t>eluent.A.nh4oh.unit</t>
  </si>
  <si>
    <t>eluent.A.trieth</t>
  </si>
  <si>
    <t>eluent.A.trieth.unit</t>
  </si>
  <si>
    <t>eluent.A.triprop</t>
  </si>
  <si>
    <t>eluent.A.triprop.unit</t>
  </si>
  <si>
    <t>eluent.A.tribut</t>
  </si>
  <si>
    <t>eluent.A.tribut.unit</t>
  </si>
  <si>
    <t>eluent.A.nndimethylhex</t>
  </si>
  <si>
    <t>eluent.A.nndimethylhex.unit</t>
  </si>
  <si>
    <t>eluent.A.medronic</t>
  </si>
  <si>
    <t>eluent.A.medronic.unit</t>
  </si>
  <si>
    <t>eluent.A.pH</t>
  </si>
  <si>
    <t>eluent.B.h2o</t>
  </si>
  <si>
    <t>eluent.B.meoh</t>
  </si>
  <si>
    <t>eluent.B.acn</t>
  </si>
  <si>
    <t>eluent.B.iproh</t>
  </si>
  <si>
    <t>eluent.B.acetone</t>
  </si>
  <si>
    <t>eluent.B.hex</t>
  </si>
  <si>
    <t>eluent.B.chcl3</t>
  </si>
  <si>
    <t>eluent.B.ch2cl2</t>
  </si>
  <si>
    <t>eluent.B.hept</t>
  </si>
  <si>
    <t>eluent.B.formic</t>
  </si>
  <si>
    <t>eluent.B.formic.unit</t>
  </si>
  <si>
    <t>eluent.B.acetic</t>
  </si>
  <si>
    <t>eluent.B.acetic.unit</t>
  </si>
  <si>
    <t>eluent.B.trifluoroacetic</t>
  </si>
  <si>
    <t>eluent.B.trifluoroacetic.unit</t>
  </si>
  <si>
    <t>eluent.B.phosphor</t>
  </si>
  <si>
    <t>eluent.B.phosphor.unit</t>
  </si>
  <si>
    <t>eluent.B.nh4ac</t>
  </si>
  <si>
    <t>eluent.B.nh4ac.unit</t>
  </si>
  <si>
    <t>eluent.B.nh4form</t>
  </si>
  <si>
    <t>eluent.B.nh4form.unit</t>
  </si>
  <si>
    <t>eluent.B.nh4carb</t>
  </si>
  <si>
    <t>eluent.B.nh4carb.unit</t>
  </si>
  <si>
    <t>eluent.B.nh4bicarb</t>
  </si>
  <si>
    <t>eluent.B.nh4bicarb.unit</t>
  </si>
  <si>
    <t>eluent.B.nh4f</t>
  </si>
  <si>
    <t>eluent.B.nh4f.unit</t>
  </si>
  <si>
    <t>eluent.B.nh4oh</t>
  </si>
  <si>
    <t>eluent.B.nh4oh.unit</t>
  </si>
  <si>
    <t>eluent.B.trieth</t>
  </si>
  <si>
    <t>eluent.B.trieth.unit</t>
  </si>
  <si>
    <t>eluent.B.triprop</t>
  </si>
  <si>
    <t>eluent.B.triprop.unit</t>
  </si>
  <si>
    <t>eluent.B.tribut</t>
  </si>
  <si>
    <t>eluent.B.tribut.unit</t>
  </si>
  <si>
    <t>eluent.B.nndimethylhex</t>
  </si>
  <si>
    <t>eluent.B.nndimethylhex.unit</t>
  </si>
  <si>
    <t>eluent.B.medronic</t>
  </si>
  <si>
    <t>eluent.B.medronic.unit</t>
  </si>
  <si>
    <t>eluent.B.pH</t>
  </si>
  <si>
    <t>eluent.C.h2o</t>
  </si>
  <si>
    <t>eluent.C.meoh</t>
  </si>
  <si>
    <t>eluent.C.acn</t>
  </si>
  <si>
    <t>eluent.C.iproh</t>
  </si>
  <si>
    <t>eluent.C.acetone</t>
  </si>
  <si>
    <t>eluent.C.hex</t>
  </si>
  <si>
    <t>eluent.C.chcl3</t>
  </si>
  <si>
    <t>eluent.C.ch2cl2</t>
  </si>
  <si>
    <t>eluent.C.hept</t>
  </si>
  <si>
    <t>eluent.C.formic</t>
  </si>
  <si>
    <t>eluent.C.formic.unit</t>
  </si>
  <si>
    <t>eluent.C.acetic</t>
  </si>
  <si>
    <t>eluent.C.acetic.unit</t>
  </si>
  <si>
    <t>eluent.C.trifluoroacetic</t>
  </si>
  <si>
    <t>eluent.C.trifluoroacetic.unit</t>
  </si>
  <si>
    <t>eluent.C.phosphor</t>
  </si>
  <si>
    <t>eluent.C.phosphor.unit</t>
  </si>
  <si>
    <t>eluent.C.nh4ac</t>
  </si>
  <si>
    <t>eluent.C.nh4ac.unit</t>
  </si>
  <si>
    <t>eluent.C.nh4form</t>
  </si>
  <si>
    <t>eluent.C.nh4form.unit</t>
  </si>
  <si>
    <t>eluent.C.nh4carb</t>
  </si>
  <si>
    <t>eluent.C.nh4carb.unit</t>
  </si>
  <si>
    <t>eluent.C.nh4bicarb</t>
  </si>
  <si>
    <t>eluent.C.nh4bicarb.unit</t>
  </si>
  <si>
    <t>eluent.C.nh4f</t>
  </si>
  <si>
    <t>eluent.C.nh4f.unit</t>
  </si>
  <si>
    <t>eluent.C.nh4oh</t>
  </si>
  <si>
    <t>eluent.C.nh4oh.unit</t>
  </si>
  <si>
    <t>eluent.C.trieth</t>
  </si>
  <si>
    <t>eluent.C.trieth.unit</t>
  </si>
  <si>
    <t>eluent.C.triprop</t>
  </si>
  <si>
    <t>eluent.C.triprop.unit</t>
  </si>
  <si>
    <t>eluent.C.tribut</t>
  </si>
  <si>
    <t>eluent.C.tribut.unit</t>
  </si>
  <si>
    <t>eluent.C.nndimethylhex</t>
  </si>
  <si>
    <t>eluent.C.nndimethylhex.unit</t>
  </si>
  <si>
    <t>eluent.C.medronic</t>
  </si>
  <si>
    <t>eluent.C.medronic.unit</t>
  </si>
  <si>
    <t>eluent.C.pH</t>
  </si>
  <si>
    <t>eluent.D.h2o</t>
  </si>
  <si>
    <t>eluent.D.meoh</t>
  </si>
  <si>
    <t>eluent.D.acn</t>
  </si>
  <si>
    <t>eluent.D.iproh</t>
  </si>
  <si>
    <t>eluent.D.acetone</t>
  </si>
  <si>
    <t>eluent.D.hex</t>
  </si>
  <si>
    <t>eluent.D.chcl3</t>
  </si>
  <si>
    <t>eluent.D.ch2cl2</t>
  </si>
  <si>
    <t>eluent.D.hept</t>
  </si>
  <si>
    <t>eluent.D.formic</t>
  </si>
  <si>
    <t>eluent.D.formic.unit</t>
  </si>
  <si>
    <t>eluent.D.acetic</t>
  </si>
  <si>
    <t>eluent.D.acetic.unit</t>
  </si>
  <si>
    <t>eluent.D.trifluoroacetic</t>
  </si>
  <si>
    <t>eluent.D.trifluoroacetic.unit</t>
  </si>
  <si>
    <t>eluent.D.phosphor</t>
  </si>
  <si>
    <t>eluent.D.phosphor.unit</t>
  </si>
  <si>
    <t>eluent.D.nh4ac</t>
  </si>
  <si>
    <t>eluent.D.nh4ac.unit</t>
  </si>
  <si>
    <t>eluent.D.nh4form</t>
  </si>
  <si>
    <t>eluent.D.nh4form.unit</t>
  </si>
  <si>
    <t>eluent.D.nh4carb</t>
  </si>
  <si>
    <t>eluent.D.nh4carb.unit</t>
  </si>
  <si>
    <t>eluent.D.nh4bicarb</t>
  </si>
  <si>
    <t>eluent.D.nh4bicarb.unit</t>
  </si>
  <si>
    <t>eluent.D.nh4f</t>
  </si>
  <si>
    <t>eluent.D.nh4f.unit</t>
  </si>
  <si>
    <t>eluent.D.nh4oh</t>
  </si>
  <si>
    <t>eluent.D.nh4oh.unit</t>
  </si>
  <si>
    <t>eluent.D.trieth</t>
  </si>
  <si>
    <t>eluent.D.trieth.unit</t>
  </si>
  <si>
    <t>eluent.D.triprop</t>
  </si>
  <si>
    <t>eluent.D.triprop.unit</t>
  </si>
  <si>
    <t>eluent.D.tribut</t>
  </si>
  <si>
    <t>eluent.D.tribut.unit</t>
  </si>
  <si>
    <t>eluent.D.nndimethylhex</t>
  </si>
  <si>
    <t>eluent.D.nndimethylhex.unit</t>
  </si>
  <si>
    <t>eluent.D.medronic</t>
  </si>
  <si>
    <t>eluent.D.medronic.unit</t>
  </si>
  <si>
    <t>eluent.D.pH</t>
  </si>
  <si>
    <t>gradient.start.A</t>
  </si>
  <si>
    <t>gradient.start.B</t>
  </si>
  <si>
    <t>gradient.start.C</t>
  </si>
  <si>
    <t>gradient.start.D</t>
  </si>
  <si>
    <t>gradient.end.A</t>
  </si>
  <si>
    <t>gradient.end.B</t>
  </si>
  <si>
    <t>gradient.end.C</t>
  </si>
  <si>
    <t>gradient.end.D</t>
  </si>
  <si>
    <t>0019</t>
  </si>
  <si>
    <t>Waters XBridge C18</t>
  </si>
  <si>
    <t>%</t>
  </si>
  <si>
    <t>0027</t>
  </si>
  <si>
    <t>Merck SeQuant ZIC-HILIC</t>
  </si>
  <si>
    <t>0052</t>
  </si>
  <si>
    <t>Agilent InfinityLab Poroshell 120 EC-C18</t>
  </si>
  <si>
    <t>0179</t>
  </si>
  <si>
    <t>Phenomenex Kinetex C18</t>
  </si>
  <si>
    <t>0180</t>
  </si>
  <si>
    <t>0183</t>
  </si>
  <si>
    <t>Waters ACQUITY UPLC BEH Amide</t>
  </si>
  <si>
    <t>mM</t>
  </si>
  <si>
    <t>0184</t>
  </si>
  <si>
    <t>0185</t>
  </si>
  <si>
    <t>Merck SeQuant ZIC-pHILIC</t>
  </si>
  <si>
    <t>0231</t>
  </si>
  <si>
    <t>Waters ACQUITY UPLC BEH HILIC</t>
  </si>
  <si>
    <t>0234</t>
  </si>
  <si>
    <t>Waters ACQUITY UPLC HSS T3</t>
  </si>
  <si>
    <t>0235</t>
  </si>
  <si>
    <t>0260</t>
  </si>
  <si>
    <t>Phenomenex Synergi Polar-RP</t>
  </si>
  <si>
    <t>0261</t>
  </si>
  <si>
    <t>0264</t>
  </si>
  <si>
    <t>Waters ACQUITY UPLC BEH C18</t>
  </si>
  <si>
    <t>0282</t>
  </si>
  <si>
    <t>Phenomenex Kinetex HILIC</t>
  </si>
  <si>
    <t>1.9285714285714288</t>
  </si>
  <si>
    <t>0283</t>
  </si>
  <si>
    <t>0317</t>
  </si>
  <si>
    <t>Waters CORTECS UPLC C18</t>
  </si>
  <si>
    <t>0319</t>
  </si>
  <si>
    <t>0321</t>
  </si>
  <si>
    <t>0323</t>
  </si>
  <si>
    <t>0331</t>
  </si>
  <si>
    <t>Restek Raptor Biphenyl</t>
  </si>
  <si>
    <t>0372</t>
  </si>
  <si>
    <t>Agilent InfinityLab Poroshell 120 HILIC-Z (Peek-lined)</t>
  </si>
  <si>
    <t>0.9187500000000001</t>
  </si>
  <si>
    <t>0373</t>
  </si>
  <si>
    <t>HILICON iHILIC-(P) Classic, HILIC, PEEK</t>
  </si>
  <si>
    <t>0374</t>
  </si>
  <si>
    <t>0375</t>
  </si>
  <si>
    <t>0376</t>
  </si>
  <si>
    <t>0377</t>
  </si>
  <si>
    <t>µM</t>
  </si>
  <si>
    <t>0378</t>
  </si>
  <si>
    <t>Data ID</t>
  </si>
  <si>
    <t>Num Comp</t>
  </si>
  <si>
    <t>Rt Range (s)</t>
  </si>
  <si>
    <t>GINKAN Multi Task</t>
  </si>
  <si>
    <t>GINKAN Task Specific</t>
  </si>
  <si>
    <t>GINKAN Global</t>
  </si>
  <si>
    <t>GIN Multi Task</t>
  </si>
  <si>
    <t>GIN Task Specific</t>
  </si>
  <si>
    <t>GIN Global</t>
  </si>
  <si>
    <t>GCN Multi Task</t>
  </si>
  <si>
    <t>GCN Task Specific</t>
  </si>
  <si>
    <t>GCN Global</t>
  </si>
  <si>
    <t>GAT Multi Task</t>
  </si>
  <si>
    <t>GAT Task Specific</t>
  </si>
  <si>
    <t>GAT Global</t>
  </si>
  <si>
    <t>MAE</t>
  </si>
  <si>
    <t>MedAE</t>
  </si>
  <si>
    <t>MRE</t>
  </si>
  <si>
    <t>R2</t>
  </si>
  <si>
    <t>48.00 − 1224.00</t>
  </si>
  <si>
    <t>66.00 − 1425.00</t>
  </si>
  <si>
    <t>49.80 − 914.40</t>
  </si>
  <si>
    <t>53.40 − 768.00</t>
  </si>
  <si>
    <t>30.90 − 654.00</t>
  </si>
  <si>
    <t>27.60 − 652.80</t>
  </si>
  <si>
    <t>84.06 − 898.80</t>
  </si>
  <si>
    <t>88.80 − 972.60</t>
  </si>
  <si>
    <t>11.64 − 418.38</t>
  </si>
  <si>
    <t>32.82 − 527.58</t>
  </si>
  <si>
    <t>31.98 − 541.32</t>
  </si>
  <si>
    <t>31.86 − 518.82</t>
  </si>
  <si>
    <t>30.72 − 538.38</t>
  </si>
  <si>
    <t>32.16 − 386.22</t>
  </si>
  <si>
    <t>Avg</t>
  </si>
  <si>
    <t>Std</t>
  </si>
  <si>
    <t>56.40−919.92</t>
  </si>
  <si>
    <t>31.80−865.20</t>
  </si>
  <si>
    <t>28.20−889.80</t>
  </si>
  <si>
    <t>54.60−690.00</t>
  </si>
  <si>
    <t>40.37−381.01</t>
  </si>
  <si>
    <t>80.23−471.09</t>
  </si>
  <si>
    <t>104.00−247.71</t>
  </si>
  <si>
    <t>124.50−1089.00</t>
  </si>
  <si>
    <t>99.48−1126.02</t>
  </si>
  <si>
    <t>126.00−1102.02</t>
  </si>
  <si>
    <t>136.98−1129.50</t>
  </si>
  <si>
    <t>142.98−1126.98</t>
  </si>
  <si>
    <t>206.52−1107.00</t>
  </si>
  <si>
    <t>162.48−1130.52</t>
  </si>
  <si>
    <t>Uni-RT</t>
  </si>
  <si>
    <t>MDL-TL</t>
  </si>
  <si>
    <t>GNN-RT</t>
  </si>
  <si>
    <t>DeepGCN-RT</t>
  </si>
  <si>
    <t>GNN-TL</t>
  </si>
  <si>
    <t>Uni-RT w/o FiLM</t>
  </si>
  <si>
    <t>Uni-RT w/o Adapter</t>
  </si>
  <si>
    <t>Uni-RT w/o Cross Stitch</t>
  </si>
  <si>
    <t>name</t>
  </si>
  <si>
    <t>rt(min)</t>
  </si>
  <si>
    <t>smiles.std</t>
  </si>
  <si>
    <t>Formula</t>
  </si>
  <si>
    <t>inchikey</t>
  </si>
  <si>
    <t>rank of DeepMASS Only</t>
  </si>
  <si>
    <t>rank of DeepMASS + RT Filter</t>
  </si>
  <si>
    <t>Predicted_RT_Task14</t>
  </si>
  <si>
    <t>rt(s)</t>
  </si>
  <si>
    <t>Predicted Absolute Error</t>
  </si>
  <si>
    <t>(-)-Catechin</t>
  </si>
  <si>
    <t>O[C@H]1[C@H](C2=CC=C(O)C(O)=C2)OC3=CC(O)=CC(O)=C3C1</t>
  </si>
  <si>
    <t>C15H14O6</t>
  </si>
  <si>
    <t>PFTAWBLQPZVEMU-HIFRSBDPSA-N</t>
  </si>
  <si>
    <t>(R)-Sulforaphane</t>
  </si>
  <si>
    <t>O=[S@@](CCCCN=C=S)C</t>
  </si>
  <si>
    <t>C6H11NOS2</t>
  </si>
  <si>
    <t>SUVMJBTUFCVSAD-SNVBAGLBSA-N</t>
  </si>
  <si>
    <t>[10]-Shogaol</t>
  </si>
  <si>
    <t>CCCCCCCCC/C=C/C(CCC1=CC=C(O)C(OC)=C1)=O</t>
  </si>
  <si>
    <t>C21H32O3</t>
  </si>
  <si>
    <t>FADFGCOCHHNRHF-VAWYXSNFSA-N</t>
  </si>
  <si>
    <t>10-Deacetylbaccatin III</t>
  </si>
  <si>
    <t>CC1=C([C@@H](O)C([C@@]2(C)[C@@]3([H])[C@@](CO4)(OC(C)=O)[C@@]4([H])C[C@@H]2O)=O)C(C)(C)[C@@]([C@H]3OC(C5=CC=CC=C5)=O)(O)C[C@@H]1O</t>
  </si>
  <si>
    <t>C29H36O10</t>
  </si>
  <si>
    <t>YWLXLRUDGLRYDR-ZHPRIASZSA-N</t>
  </si>
  <si>
    <t>3,3'-Diindolylmethane</t>
  </si>
  <si>
    <t>C1(CC2=CNC3=C2C=CC=C3)=CNC4=C1C=CC=C4</t>
  </si>
  <si>
    <t>C17H14N2</t>
  </si>
  <si>
    <t>VFTRKSBEFQDZKX-UHFFFAOYSA-N</t>
  </si>
  <si>
    <t>3-Methylcarbazole</t>
  </si>
  <si>
    <t>CC1=CC2=C(C=C1)NC3=C2C=CC=C3</t>
  </si>
  <si>
    <t>C13H11N</t>
  </si>
  <si>
    <t>PHKYYUQQYARDIU-UHFFFAOYSA-N</t>
  </si>
  <si>
    <t>4-Hydroxylonchocarpin</t>
  </si>
  <si>
    <t>O=C(C1=CC=C2C(C=CC(C)(C)O2)=C1O)/C=C/C3=CC=C(O)C=C3</t>
  </si>
  <si>
    <t>C20H18O4</t>
  </si>
  <si>
    <t>IQHPDUUSMBMDGN-WEVVVXLNSA-N</t>
  </si>
  <si>
    <t>6-Demethoxytangeretin</t>
  </si>
  <si>
    <t>O=C1C=C(C2=CC=C(OC)C=C2)OC3=C(OC)C(OC)=CC(OC)=C13</t>
  </si>
  <si>
    <t>C19H18O6</t>
  </si>
  <si>
    <t>DDGJUTBQQURRGE-UHFFFAOYSA-N</t>
  </si>
  <si>
    <t>6-Hydroxycoumarin</t>
  </si>
  <si>
    <t>O=C1C=CC2=CC(O)=CC=C2O1</t>
  </si>
  <si>
    <t>C9H6O3</t>
  </si>
  <si>
    <t>CJIJXIFQYOPWTF-UHFFFAOYSA-N</t>
  </si>
  <si>
    <t>7-Ethylcamptothecin</t>
  </si>
  <si>
    <t>O=C1[C@](O)(CC)C2=C(CO1)C(N3CC4=C(CC)C5=CC=CC=C5N=C4C3=C2)=O</t>
  </si>
  <si>
    <t>C22H20N2O4</t>
  </si>
  <si>
    <t>MYQKIWCVEPUPIL-QFIPXVFZSA-N</t>
  </si>
  <si>
    <t>8-Gingerol</t>
  </si>
  <si>
    <t>CCCCCCC[C@H](O)CC(CCC1=CC=C(O)C(OC)=C1)=O</t>
  </si>
  <si>
    <t>C19H30O4</t>
  </si>
  <si>
    <t>BCIWKKMTBRYQJU-INIZCTEOSA-N</t>
  </si>
  <si>
    <t>9-Aminocamptothecin</t>
  </si>
  <si>
    <t>O=C1[C@](O)(CC)C2=C(CO1)C(N3CC4=CC5=C(N)C=CC=C5N=C4C3=C2)=O</t>
  </si>
  <si>
    <t>C20H17N3O4</t>
  </si>
  <si>
    <t>FUXVKZWTXQUGMW-FQEVSTJZSA-N</t>
  </si>
  <si>
    <t>alpha-Mangostin</t>
  </si>
  <si>
    <t>O=C1C2=C(OC3=C1C(C/C=C(C)\C)=C(OC)C(O)=C3)C=C(O)C(C/C=C(C)\C)=C2O</t>
  </si>
  <si>
    <t>C24H26O6</t>
  </si>
  <si>
    <t>GNRIZKKCNOBBMO-UHFFFAOYSA-N</t>
  </si>
  <si>
    <t>Ardisiacrispin A</t>
  </si>
  <si>
    <t>[H][C@]1(OC[C@@H](O)[C@H](O)[C@H]1O)O[C@@H]2[C@@H](O)[C@H](O)[C@@H](CO)O[C@@]2([H])O[C@H]3CO[C@@]([H])(O[C@@H]4C(C)(C)[C@@](CC[C@]([C@@](C[C@@H](O)[C@]56[C@@]7([H])C[C@@](C)(C=O)CC5)(C)[C@]7(OC6)CC8)(C)[C@@]98[H])([H])[C@]9(C)CC4)[C@H](O[C@]%10([C@H](O)[C@@H](O)[C@H](O)[C@@H](CO)O%10)[H])[C@@H]3O</t>
  </si>
  <si>
    <t>C52H84O22</t>
  </si>
  <si>
    <t>JXTOWLUQSHIIDP-IMDNQCAPSA-N</t>
  </si>
  <si>
    <t>Asiaticoside</t>
  </si>
  <si>
    <t>C[C@@H]1CC[C@@]2(C(O[C@@H]3O[C@H](CO[C@H]4[C@H](O)[C@@H](O)[C@H](O[C@@]5([H])[C@H](O)[C@H](O)[C@@H](O)[C@H](C)O5)[C@@H](CO)O4)[C@@H](O)[C@H](O)[C@H]3O)=O)[C@@](C6=CC[C@@]([C@](C[C@@H](O)[C@H](O)[C@]7(CO)C)(C)[C@@]7([H])CC8)([H])[C@]8(C)[C@]6(C)CC2)([H])[C@H]1C</t>
  </si>
  <si>
    <t>C48H78O19</t>
  </si>
  <si>
    <t>WYQVAPGDARQUBT-FGWHUCSPSA-N</t>
  </si>
  <si>
    <t>Asperulosidic Acid</t>
  </si>
  <si>
    <t>OC[C@H]([C@@H](O)[C@H](O)[C@H]1O)O[C@@]1([H])O[C@H]2[C@@]3([H])[C@@]([C@@H](O)C=C3COC(C)=O)([H])C(C(O)=O)=CO2</t>
  </si>
  <si>
    <t>C18H24O12</t>
  </si>
  <si>
    <t>DGDWCRWJRNMRKX-DILZHRMZSA-N</t>
  </si>
  <si>
    <t>Baccatin III</t>
  </si>
  <si>
    <t>O=C1[C@H](OC(C)=O)C(C2(C)C)=C(C)[C@@H](O)C[C@@]2(O)[C@@H](OC(C3=CC=CC=C3)=O)[C@@]4([H])[C@@]1(C)[C@@H](O)C[C@@]5([H])OC[C@]54OC(C)=O</t>
  </si>
  <si>
    <t>C31H38O11</t>
  </si>
  <si>
    <t>OVMSOCFBDVBLFW-VHLOTGQHSA-N</t>
  </si>
  <si>
    <t>Bacopaside II</t>
  </si>
  <si>
    <t>C[C@]12[C@@]34[C@@](CC[C@]1([H])[C@@]5([C@@](C(C)([C@@H](O[C@@]6([H])[C@@H]([C@H]([C@H](O)[C@@H](CO)O6)O[C@]7([H])O[C@@H]([C@@H](O)[C@H](O)[C@H]7O)CO)O[C@]8([H])O[C@@H](CO)[C@H](O)[C@H]8O)CC5)C)([H])CC2)C)([H])[C@]9([H])[C@@](OC4)(OC[C@@H](/C=C(C)\C)[C@@]9(O)C)C3</t>
  </si>
  <si>
    <t>C47H76O18</t>
  </si>
  <si>
    <t>WZWPYJOPCULCLQ-UOXCDNDQSA-N</t>
  </si>
  <si>
    <t>Bavachin</t>
  </si>
  <si>
    <t>O=C1C[C@@H](C2=CC=C(O)C=C2)OC3=CC(O)=C(C/C=C(C)\C)C=C13</t>
  </si>
  <si>
    <t>C20H20O4</t>
  </si>
  <si>
    <t>OAUREGNZECGNQS-IBGZPJMESA-N</t>
  </si>
  <si>
    <t>Biochanin A</t>
  </si>
  <si>
    <t>OC1=C2C(OC=C(C3=CC=C(OC)C=C3)C2=O)=CC(O)=C1</t>
  </si>
  <si>
    <t>C16H12O5</t>
  </si>
  <si>
    <t>WUADCCWRTIWANL-UHFFFAOYSA-N</t>
  </si>
  <si>
    <t>Bixin</t>
  </si>
  <si>
    <t>OC(/C=C/C(C)=C/C=C/C(C)=C/C=C/C=C(C)/C=C/C=C(C)\C=C\C(OC)=O)=O</t>
  </si>
  <si>
    <t>C25H30O4</t>
  </si>
  <si>
    <t>RAFGELQLHMBRHD-SLEZCNMESA-N</t>
  </si>
  <si>
    <t>Bullatine A</t>
  </si>
  <si>
    <t>O[C@H](C1C2([C@@H]3O)C4C[C@]5([H])[C@@]6(C)CCCC51C4N(CC)C6)C(CC2)C3=C</t>
  </si>
  <si>
    <t>C22H33NO2</t>
  </si>
  <si>
    <t>OVXLNQAYPUEDSI-TZCFEFNFSA-N</t>
  </si>
  <si>
    <t>Capsaicin</t>
  </si>
  <si>
    <t>CC(C)/C=C/CCCCC(NCC1=CC=C(O)C(OC)=C1)=O</t>
  </si>
  <si>
    <t>C18H27NO3</t>
  </si>
  <si>
    <t>YKPUWZUDDOIDPM-SOFGYWHQSA-N</t>
  </si>
  <si>
    <t>Chrysophanol</t>
  </si>
  <si>
    <t>O=C1C2=C(C=CC=C2O)C(C3=CC(C)=CC(O)=C13)=O</t>
  </si>
  <si>
    <t>C15H10O4</t>
  </si>
  <si>
    <t>LQGUBLBATBMXHT-UHFFFAOYSA-N</t>
  </si>
  <si>
    <t>Coixol</t>
  </si>
  <si>
    <t>O=C1OC2=CC(OC)=CC=C2N1</t>
  </si>
  <si>
    <t>C8H7NO3</t>
  </si>
  <si>
    <t>MKMCJLMBVKHUMS-UHFFFAOYSA-N</t>
  </si>
  <si>
    <t>Coniferyl ferulate</t>
  </si>
  <si>
    <t>O=C(OC/C=C/C1=CC=C(O)C(OC)=C1)/C=C/C2=CC=C(O)C(OC)=C2</t>
  </si>
  <si>
    <t>C20H20O6</t>
  </si>
  <si>
    <t>PGLIMMMHQDNVRS-YZQQHVNFSA-N</t>
  </si>
  <si>
    <t/>
  </si>
  <si>
    <t>Dehydrocorydaline</t>
  </si>
  <si>
    <t>CC1=C(C=CC(OC)=C2OC)C2=C[N+]3=C1C4=CC(OC)=C(OC)C=C4CC3</t>
  </si>
  <si>
    <t>C22H24NO4+</t>
  </si>
  <si>
    <t>RFKQJTRWODZPHF-UHFFFAOYSA-N</t>
  </si>
  <si>
    <t>Dehydrocorydaline (nitrate)</t>
  </si>
  <si>
    <t>[O-][N+]([O-])=O.CC1=C(C=CC(OC)=C2OC)C2=C[N+]3=C1C4=CC(OC)=C(OC)C=C4CC3</t>
  </si>
  <si>
    <t>C22H24N2O7</t>
  </si>
  <si>
    <t>CZZFYGAXGATDNG-UHFFFAOYSA-N</t>
  </si>
  <si>
    <t>Demethoxycurcumin</t>
  </si>
  <si>
    <t>O=C(CC(/C=C/C1=CC=C(O)C=C1)=O)/C=C/C2=CC=C(O)C(OC)=C2</t>
  </si>
  <si>
    <t>C20H18O5</t>
  </si>
  <si>
    <t>HJTVQHVGMGKONQ-LUZURFALSA-N</t>
  </si>
  <si>
    <t>Desmethylglycitein</t>
  </si>
  <si>
    <t>O=C1C(C2=CC=C(O)C=C2)=COC3=CC(O)=C(O)C=C13</t>
  </si>
  <si>
    <t>C15H10O5</t>
  </si>
  <si>
    <t>GYLUFQJZYAJQDI-UHFFFAOYSA-N</t>
  </si>
  <si>
    <t>Diphyllin</t>
  </si>
  <si>
    <t>O=C1OCC2=C(O)C3=CC(OC)=C(OC)C=C3C(C4=CC=C(OCO5)C5=C4)=C12</t>
  </si>
  <si>
    <t>C21H16O7</t>
  </si>
  <si>
    <t>VMEJANRODATDOF-UHFFFAOYSA-N</t>
  </si>
  <si>
    <t>Echinatin</t>
  </si>
  <si>
    <t>O=C(C1=CC=C(O)C=C1)/C=C/C2=CC=C(O)C=C2OC</t>
  </si>
  <si>
    <t>C16H14O4</t>
  </si>
  <si>
    <t>QJKMIJNRNRLQSS-WEVVVXLNSA-N</t>
  </si>
  <si>
    <t>Epigoitrin</t>
  </si>
  <si>
    <t>S=C1O[C@H](C=C)CN1</t>
  </si>
  <si>
    <t>C5H7NOS</t>
  </si>
  <si>
    <t>UZQVYLOFLQICCT-SCSAIBSYSA-N</t>
  </si>
  <si>
    <t>333.66563641238</t>
  </si>
  <si>
    <t>Ethyl 3,4-dihydroxybenzoate</t>
  </si>
  <si>
    <t>O=C(OCC)C1=CC=C(O)C(O)=C1</t>
  </si>
  <si>
    <t>C9H10O4</t>
  </si>
  <si>
    <t>KBPUBCVJHFXPOC-UHFFFAOYSA-N</t>
  </si>
  <si>
    <t>Eupatorin</t>
  </si>
  <si>
    <t>O=C1C=C(C2=CC=C(OC)C(O)=C2)OC3=CC(OC)=C(OC)C(O)=C13</t>
  </si>
  <si>
    <t>C18H16O7</t>
  </si>
  <si>
    <t>KLAOKWJLUQKWIF-UHFFFAOYSA-N</t>
  </si>
  <si>
    <t>Euphorbia Factor L2</t>
  </si>
  <si>
    <t>O=C(/C(C)=C/[C@](C1(C)C)([H])[C@]1([H])C[C@H]2OC(C3=CC=CC=C3)=O)[C@](C[C@H](C)[C@@H]4OC(C5=CC=CC=C5)=O)(OC(C)=O)[C@@]4([H])[C@@H](OC(C)=O)C2=C</t>
  </si>
  <si>
    <t>C38H42O9</t>
  </si>
  <si>
    <t>AFRGWGGHJYMSDU-LVFBPYTJSA-N</t>
  </si>
  <si>
    <t>1097.61627799063</t>
  </si>
  <si>
    <t>Ferutinin</t>
  </si>
  <si>
    <t>O=C(O[C@@H]1[C@@]2([H])[C@@](C(C)C)(O)CC[C@]2(C)CC=C(C)C1)C3=CC=C(O)C=C3</t>
  </si>
  <si>
    <t>C22H30O4</t>
  </si>
  <si>
    <t>CYSHNJQMYORNJI-YUVXSKOASA-N</t>
  </si>
  <si>
    <t>Formosanin C</t>
  </si>
  <si>
    <t>C[C@@]12[C@]3([H])[C@](O[C@]4(CC[C@@H](C)CO4)[C@H]3C)([H])C[C@@]1([H])[C@@]5([H])[C@]([C@@]6(C(C[C@@H](O[C@@]7([H])[C@@H]([C@H]([C@H](O[C@@]8([H])[C@@H]([C@@H]([C@@H](O[C@@]9([H])[C@@H]([C@@H]([C@@H](O)[C@H](C)O9)O)O)[C@H](C)O8)O)O)[C@@H](CO)O7)O)O[C@@]%10([H])[C@@H]([C@@H]([C@@H](O)[C@H](C)O%10)O)O)CC6)=CC5)C)([H])CC2</t>
  </si>
  <si>
    <t>C51H82O20</t>
  </si>
  <si>
    <t>OZIHYFWYFUSXIS-HDDFSWBLSA-N</t>
  </si>
  <si>
    <t>Galangin</t>
  </si>
  <si>
    <t>O=C1C(O)=C(C2=CC=CC=C2)OC3=CC(O)=CC(O)=C13</t>
  </si>
  <si>
    <t>VCCRNZQBSJXYJD-UHFFFAOYSA-N</t>
  </si>
  <si>
    <t>Ganoderic acid A</t>
  </si>
  <si>
    <t>CC1(C)C(CC[C@]2(C)C3=C([C@@]4([C@@H](O)C[C@@H]([C@]4(CC3=O)C)[C@H](C)CC(C[C@@H](C)C(O)=O)=O)C)[C@@H](O)C[C@@]12[H])=O</t>
  </si>
  <si>
    <t>C30H44O7</t>
  </si>
  <si>
    <t>DYOKDAQBNHPJFD-JNTBEZBXSA-N</t>
  </si>
  <si>
    <t>Ganoderic acid C2</t>
  </si>
  <si>
    <t>CC1(C)[C@@H](O)CC[C@]2(C)C3=C([C@@]4([C@@H](O)C[C@@H]([C@]4(CC3=O)C)[C@H](C)CC(C[C@@H](C)C(O)=O)=O)C)[C@@H](O)C[C@@]12[H]</t>
  </si>
  <si>
    <t>C30H46O7</t>
  </si>
  <si>
    <t>RERVSJVGWKIGTJ-RQLZKMEDSA-N</t>
  </si>
  <si>
    <t>Gartanin</t>
  </si>
  <si>
    <t>O=C1C2=C(OC3=C(O)C=CC(O)=C13)C(C/C=C(C)\C)=C(O)C(C/C=C(C)/C)=C2O</t>
  </si>
  <si>
    <t>C23H24O6</t>
  </si>
  <si>
    <t>OJXQLGQIDIPMTE-UHFFFAOYSA-N</t>
  </si>
  <si>
    <t>Genipin</t>
  </si>
  <si>
    <t>O=C(C1=CO[C@@H](O)[C@@]2([H])[C@]1([H])CC=C2CO)OC</t>
  </si>
  <si>
    <t>C11H14O5</t>
  </si>
  <si>
    <t>AZKVWQKMDGGDSV-BCMRRPTOSA-N</t>
  </si>
  <si>
    <t>Ginkgetin</t>
  </si>
  <si>
    <t>OC1=CC(O)=C2C(OC(C3=CC=C(O)C=C3)=CC2=O)=C1C4=CC(C(OC5=CC(OC)=CC(O)=C56)=CC6=O)=CC=C4OC</t>
  </si>
  <si>
    <t>C32H22O10</t>
  </si>
  <si>
    <t>AIFCFBUSLAEIBR-UHFFFAOYSA-N</t>
  </si>
  <si>
    <t>Ginkgolide B</t>
  </si>
  <si>
    <t>O[C@@H]1C(C2([C@H]3O)[C@](OC3=O)([H])O4)([C@@](O5)([H])C[C@H]2C(C)(C)C)C4(C5=O)[C@@](O)([C@@H]6C)[C@@]1([H])OC6=O</t>
  </si>
  <si>
    <t>C20H24O10</t>
  </si>
  <si>
    <t>SQOJOAFXDQDRGF-MAGGBRLHSA-N</t>
  </si>
  <si>
    <t>Glycitein</t>
  </si>
  <si>
    <t>O=C(C(C1=CC=C(O)C=C1)=CO2)C3=C2C=C(O)C(OC)=C3</t>
  </si>
  <si>
    <t>DXYUAIFZCFRPTH-UHFFFAOYSA-N</t>
  </si>
  <si>
    <t>Hyperoside</t>
  </si>
  <si>
    <t>OC1=CC(O)=C(C(C(O[C@H]2[C@H](O)[C@@H](O)[C@@H](O)[C@@H](CO)O2)=C(C3=CC=C(O)C(O)=C3)O4)=O)C4=C1</t>
  </si>
  <si>
    <t>C21H20O12</t>
  </si>
  <si>
    <t>OVSQVDMCBVZWGM-DTGCRPNFSA-N</t>
  </si>
  <si>
    <t>Iriflophenone</t>
  </si>
  <si>
    <t>O=C(C1=CC=C(O)C=C1)C2=C(O)C=C(O)C=C2O</t>
  </si>
  <si>
    <t>C13H10O5</t>
  </si>
  <si>
    <t>AOJWDTJDEGSHOA-UHFFFAOYSA-N</t>
  </si>
  <si>
    <t>Isocorydine</t>
  </si>
  <si>
    <t>COC1=C2C3=C(C=C1OC)CCN(C)[C@@]3([H])CC4=CC=C(OC)C(O)=C24</t>
  </si>
  <si>
    <t>C20H23NO4</t>
  </si>
  <si>
    <t>QELDJEKNFOQJOY-ZDUSSCGKSA-N</t>
  </si>
  <si>
    <t>Isorhamnetin-3-O-neohespeidoside</t>
  </si>
  <si>
    <t>O=C1C(O[C@H](O[C@H](CO)[C@@H](O)[C@@H]2O)[C@@H]2O[C@@](O[C@@H](C)[C@H](O)[C@H]3O)([H])[C@@H]3O)=C(C4=CC(OC)=C(O)C=C4)OC5=CC(O)=CC(O)=C15</t>
  </si>
  <si>
    <t>C28H32O16</t>
  </si>
  <si>
    <t>QHLKSZBFIJJREC-SPSUIZEHSA-N</t>
  </si>
  <si>
    <t>Isoscopoletin</t>
  </si>
  <si>
    <t>O=C1C=CC2=CC(O)=C(OC)C=C2O1</t>
  </si>
  <si>
    <t>C10H8O4</t>
  </si>
  <si>
    <t>SYTYLPHCLSSCOJ-UHFFFAOYSA-N</t>
  </si>
  <si>
    <t>Isosteviol</t>
  </si>
  <si>
    <t>C[C@]([C@]1([H])CC2)(CCC[C@@]1(C)C(O)=O)[C@@]3([H])[C@@]2(CC4=O)C[C@]4(C)CC3</t>
  </si>
  <si>
    <t>C20H30O3</t>
  </si>
  <si>
    <t>KFVUFODCZDRVSS-XGBBNYNSSA-N</t>
  </si>
  <si>
    <t>Jervine</t>
  </si>
  <si>
    <t>O=C1[C@]2([H])[C@]3(C)C(C[C@@H](O)CC3)=CC[C@@]2([H])[C@]4([H])CC[C@]5(O[C@@]6([H])[C@@]([C@H]5C)([H])NC[C@@H](C)C6)C(C)=C41</t>
  </si>
  <si>
    <t>C27H39NO3</t>
  </si>
  <si>
    <t>CLEXYFLHGFJONT-DNMILWOZSA-N</t>
  </si>
  <si>
    <t>Khellin</t>
  </si>
  <si>
    <t>O=C1C=C(C)OC2=C(OC)C(OC=C3)=C3C(OC)=C12</t>
  </si>
  <si>
    <t>C14H12O5</t>
  </si>
  <si>
    <t>HSMPDPBYAYSOBC-UHFFFAOYSA-N</t>
  </si>
  <si>
    <t>Koumine</t>
  </si>
  <si>
    <t>C=C[C@]12[C@]3([H])C[C@@H]4C5=NC6=CC=CC=C6[C@@]51C[C@H](N(C)C2)[C@@]3([H])CO4</t>
  </si>
  <si>
    <t>C20H22N2O</t>
  </si>
  <si>
    <t>VTLYEMHGPMGUOT-SQMWYMQWSA-N</t>
  </si>
  <si>
    <t>Licochalcone D</t>
  </si>
  <si>
    <t>O=C(C1=CC=C(O)C(C/C=C(C)\C)=C1)/C=C/C2=CC=C(O)C(O)=C2OC</t>
  </si>
  <si>
    <t>C21H22O5</t>
  </si>
  <si>
    <t>RETRVWFVEFCGOK-RMKNXTFCSA-N</t>
  </si>
  <si>
    <t>Limonin</t>
  </si>
  <si>
    <t>O=C1[C@@H]2[C@@]3(O2)[C@](CC[C@@]([C@@]4([C@@](CC(OC4)=O)([H])OC5(C)C)[C@@]5([H])CC6=O)([H])[C@]36C)(C)[C@H](C7=COC=C7)O1</t>
  </si>
  <si>
    <t>C26H30O8</t>
  </si>
  <si>
    <t>KBDSLGBFQAGHBE-MSGMIQHVSA-N</t>
  </si>
  <si>
    <t>Linamarin</t>
  </si>
  <si>
    <t>CC(O[C@H]1[C@H](O)[C@@H](O)[C@H](O)[C@H](O1)CO)(C#N)C</t>
  </si>
  <si>
    <t>C10H17NO6</t>
  </si>
  <si>
    <t>QLTCHMYAEJEXBT-ZEBDFXRSSA-N</t>
  </si>
  <si>
    <t>Lirinidine</t>
  </si>
  <si>
    <t>OC1=C(OC)C=C2CCN(C)[C@@]3([H])CC4=CC=CC=C4C1=C23</t>
  </si>
  <si>
    <t>C18H19NO2</t>
  </si>
  <si>
    <t>YXVXMURDCBMPRH-AWEZNQCLSA-N</t>
  </si>
  <si>
    <t>Lithospermoside</t>
  </si>
  <si>
    <t>O[C@@H]1[C@@](/C(C=C[C@H]1O)=C\C#N)([H])O[C@@H]([C@@H]([C@@H](O)[C@@H]2O)O)O[C@@H]2CO</t>
  </si>
  <si>
    <t>C14H19NO8</t>
  </si>
  <si>
    <t>WIIDBJNWXCWLKF-VVAXPEBGSA-N</t>
  </si>
  <si>
    <t>Macelignan</t>
  </si>
  <si>
    <t>OC1=CC=C(C[C@H](C)[C@H](C)CC2=CC=C(OCO3)C3=C2)C=C1OC</t>
  </si>
  <si>
    <t>C20H24O4</t>
  </si>
  <si>
    <t>QDDILOVMGWUNGD-UONOGXRCSA-N</t>
  </si>
  <si>
    <t>Malabaricone B</t>
  </si>
  <si>
    <t>O=C(C1=C(O)C=CC=C1O)CCCCCCCCC2=CC=C(O)C=C2</t>
  </si>
  <si>
    <t>C21H26O4</t>
  </si>
  <si>
    <t>KOAPDMKKECXPHX-UHFFFAOYSA-N</t>
  </si>
  <si>
    <t>Meisoindigo</t>
  </si>
  <si>
    <t>O=C1N(C)C2=C(C=CC=C2)/C1=C3C(NC4=C\3C=CC=C4)=O</t>
  </si>
  <si>
    <t>C17H12N2O2</t>
  </si>
  <si>
    <t>QNOCRUSVMMAKSC-CCEZHUSRSA-N</t>
  </si>
  <si>
    <t>Mogroside III-E</t>
  </si>
  <si>
    <t>C[C@]12[C@](CC=C3[C@@]2([H])CC[C@H](O[C@]4([H])O[C@@H]([C@@H](O)[C@H](O)[C@H]4O)CO)C3(C)C)([H])[C@]5([C@@](C)([C@]([C@H](C)CC[C@H](C(C)(O)C)O[C@H]6[C@@H]([C@H]([C@H](O)[C@@H](CO)O6)O)O[C@]7([H])O[C@@H]([C@@H](O)[C@H](O)[C@H]7O)CO)([H])CC5)C[C@H]1O)C</t>
  </si>
  <si>
    <t>C48H82O19</t>
  </si>
  <si>
    <t>QATISCJMIITVAB-CNEPTXDISA-N</t>
  </si>
  <si>
    <t>Narciclasine</t>
  </si>
  <si>
    <t>O=C1N[C@@]2([H])[C@H](O)[C@H](O)[C@@H](O)C=C2C3=C1C(O)=C4C(OCO4)=C3</t>
  </si>
  <si>
    <t>C14H13NO7</t>
  </si>
  <si>
    <t>LZAZURSABQIKGB-AEKGRLRDSA-N</t>
  </si>
  <si>
    <t>Narcissin</t>
  </si>
  <si>
    <t>O=C1C(O[C@@H]([C@@H]([C@@H](O)[C@@H]2O)O)O[C@@H]2CO[C@H](O[C@@H](C)[C@H](O)[C@H]3O)[C@@H]3O)=C(C4=CC(OC)=C(O)C=C4)OC5=CC(O)=CC(O)=C15</t>
  </si>
  <si>
    <t>UIDGLYUNOUKLBM-GEBJFKNCSA-N</t>
  </si>
  <si>
    <t>Neferine</t>
  </si>
  <si>
    <t>OC1=CC=C(C[C@@H]2N(C)CCC3=C2C=C(OC)C(OC)=C3)C=C1OC4=CC5=C(C=C4OC)CCN(C)[C@@H]5CC6=CC=C(OC)C=C6</t>
  </si>
  <si>
    <t>C38H44N2O6</t>
  </si>
  <si>
    <t>MIBATSHDJRIUJK-ZWXJPIIXSA-N</t>
  </si>
  <si>
    <t>Nimbolide</t>
  </si>
  <si>
    <t>C[C@]12[C@@]3([H])[C@](OC([C@@]3(C=CC2=O)C)=O)([H])[C@]4([H])[C@]([C@@H]1CC(OC)=O)(C5=C(C)[C@@](C6=COC=C6)([H])C[C@@]5([H])O4)C</t>
  </si>
  <si>
    <t>C27H30O7</t>
  </si>
  <si>
    <t>JZIQWNPPBKFOPT-LSYMHUITSA-N</t>
  </si>
  <si>
    <t>Nordalbergin</t>
  </si>
  <si>
    <t>O=C1C=C(C2=CC=CC=C2)C3=CC(O)=C(O)C=C3O1</t>
  </si>
  <si>
    <t>TZRNJQYCOSMOJS-UHFFFAOYSA-N</t>
  </si>
  <si>
    <t>Oleanonic acid</t>
  </si>
  <si>
    <t>CC1(C)C(CC[C@]2(C)[C@@]3([H])CC=C4[C@]5([H])CC(C)(C)CC[C@@](C(O)=O)5CC[C@](C)4[C@@](C)3CC[C@@]12[H])=O</t>
  </si>
  <si>
    <t>C30H46O3</t>
  </si>
  <si>
    <t>FMIMFCRXYXVFTA-FUAOEXFOSA-N</t>
  </si>
  <si>
    <t>Oxypeucedanin</t>
  </si>
  <si>
    <t>CC1(C)C(O1)COC2=C(C=CO3)C3=CC(O4)=C2C=CC4=O</t>
  </si>
  <si>
    <t>C16H14O5</t>
  </si>
  <si>
    <t>QTAGQHZOLRFCBU-UHFFFAOYSA-N</t>
  </si>
  <si>
    <t>795.18087328827</t>
  </si>
  <si>
    <t>Oxypeucedanin hydrate</t>
  </si>
  <si>
    <t>CC(C)(O)[C@H](O)COC1=C(C=CO2)C2=CC(O3)=C1C=CC3=O</t>
  </si>
  <si>
    <t>C16H16O6</t>
  </si>
  <si>
    <t>PEWFWDOPJISUOK-CYBMUJFWSA-N</t>
  </si>
  <si>
    <t>Pachymic acid</t>
  </si>
  <si>
    <t>O[C@@H]([C@]1([H])[C@H](C(O)=O)CCC(C(C)C)=C)C[C@@]([C@]1(C)CC2)(C)C3=C2[C@]4(C)[C@](CC3)([H])C(C)(C)[C@@H](OC(C)=O)CC4</t>
  </si>
  <si>
    <t>C33H52O5</t>
  </si>
  <si>
    <t>VDYCLYGKCGVBHN-DRCQUEPLSA-N</t>
  </si>
  <si>
    <t>Paris saponin VII</t>
  </si>
  <si>
    <t>O[C@@]12[C@@]3([C@@]([C@@]4([H])[C@]([C@@]5(C(C[C@@H](O[C@@]6([H])[C@@H]([C@H]([C@H](O[C@@]7([H])[C@@H]([C@@H]([C@@H](O[C@@]8([H])[C@@H]([C@@H]([C@@H](O)[C@H](C)O8)O)O)[C@H](C)O7)O)O)[C@@H](CO)O6)O)O[C@@]9([H])[C@@H]([C@@H]([C@@H](O)[C@H](C)O9)O)O)CC5)=CC4)C)([H])CC3)([H])C[C@]1([H])O[C@]%10(CC[C@@H](C)CO%10)[C@H]2C)C</t>
  </si>
  <si>
    <t>C51H82O21</t>
  </si>
  <si>
    <t>FBFJAXUYHGSVFN-IYUYFXHASA-N</t>
  </si>
  <si>
    <t>Parthenolide</t>
  </si>
  <si>
    <t>C/C1=C\CC[C@@](C)(O2)[C@H]2[C@@H](OC(C3=C)=O)[C@H]3CC1</t>
  </si>
  <si>
    <t>C15H20O3</t>
  </si>
  <si>
    <t>KTEXNACQROZXEV-PVLRGYAZSA-N</t>
  </si>
  <si>
    <t>Peimisine</t>
  </si>
  <si>
    <t>O=C1[C@](C[C@@H](O)CC2)([H])[C@@]2(C)[C@@]3([H])CC4=C(C)[C@@]5(O[C@@]6([H])[C@@]([C@H]5C)([H])NC[C@@H](C)C6)CC[C@@]4([H])[C@]3([H])C1</t>
  </si>
  <si>
    <t>C27H41NO3</t>
  </si>
  <si>
    <t>KYELXPJVGNZIGC-GKFGJCLESA-N</t>
  </si>
  <si>
    <t>Phillyrin</t>
  </si>
  <si>
    <t>COC(C=C1[C@@H]2[C@](CO[C@H]3C4=CC(OC)=C(OC)C=C4)([H])[C@]3([H])CO2)=C(C=C1)O[C@@H]([C@@H]([C@@H](O)[C@@H]5O)O)O[C@@H]5CO</t>
  </si>
  <si>
    <t>C27H34O11</t>
  </si>
  <si>
    <t>KFFCKOBAHMGTMW-LGQRSHAYSA-N</t>
  </si>
  <si>
    <t>Picein</t>
  </si>
  <si>
    <t>O[C@H]([C@H]([C@@H]([C@H](O1)CO)O)O)[C@@H]1OC2=CC=C(C=C2)C(C)=O</t>
  </si>
  <si>
    <t>C14H18O7</t>
  </si>
  <si>
    <t>GOZCEKPKECLKNO-RKQHYHRCSA-N</t>
  </si>
  <si>
    <t>Procyanidin B3</t>
  </si>
  <si>
    <t>O[C@@H]1[C@@H](C2=CC=C(O)C(O)=C2)OC3=CC(O)=CC(O)=C3[C@H]1C4=C5C(C[C@H](O)[C@@H](C6=CC=C(O)C(O)=C6)O5)=C(O)C=C4O</t>
  </si>
  <si>
    <t>C30H26O12</t>
  </si>
  <si>
    <t>XFZJEEAOWLFHDH-AVFWISQGSA-N</t>
  </si>
  <si>
    <t>Puerarin 6''-O-Xyloside</t>
  </si>
  <si>
    <t>OC1=CC=C2C(OC=C(C3=CC=C(O)C=C3)C2=O)=C1[C@@H]([C@@H]([C@@H](O)[C@@H]4O)O)O[C@@H]4CO[C@H](OC[C@@H](O)[C@@H]5O)[C@@H]5O</t>
  </si>
  <si>
    <t>C26H28O13</t>
  </si>
  <si>
    <t>YCFQXQCEEPCZMO-KATYHMCLSA-N</t>
  </si>
  <si>
    <t>Resveratrol</t>
  </si>
  <si>
    <t>OC1=CC=C(/C=C/C2=CC(O)=CC(O)=C2)C=C1</t>
  </si>
  <si>
    <t>C14H12O3</t>
  </si>
  <si>
    <t>LUKBXSAWLPMMSZ-OWOJBTEDSA-N</t>
  </si>
  <si>
    <t>Rhapontin</t>
  </si>
  <si>
    <t>O[C@H]([C@@H](O)[C@@H]1O)[C@@H](O[C@@H]1CO)OC2=CC(/C=C/C3=CC(O)=C(OC)C=C3)=CC(O)=C2</t>
  </si>
  <si>
    <t>C21H24O9</t>
  </si>
  <si>
    <t>GKAJCVFOJGXVIA-DXKBKAGUSA-N</t>
  </si>
  <si>
    <t>Rosmanol</t>
  </si>
  <si>
    <t>O=C1O[C@]2([H])[C@@H](O)C3=C(C(O)=C(O)C(C(C)C)=C3)[C@@]41CCCC(C)(C)[C@]24[H]</t>
  </si>
  <si>
    <t>C20H26O5</t>
  </si>
  <si>
    <t>LCAZOMIGFDQMNC-FORWCCJISA-N</t>
  </si>
  <si>
    <t>Saikosaponin B1</t>
  </si>
  <si>
    <t>OC[C@@]1(C)[C@]2([H])CC[C@@]3(C)[C@]4(C)C[C@H](O)[C@@]5(CO)CCC(C)(C)CC5=C4C=C[C@]3([H])[C@@]2(C)CC[C@@H]1O[C@]6([H])O[C@H](C)[C@H](O)[C@H](O[C@]7([H])O[C@H](CO)[C@@H](O)[C@H](O)[C@H]7O)[C@H]6O</t>
  </si>
  <si>
    <t>C42H68O13</t>
  </si>
  <si>
    <t>WRYJYFCCMSVEPQ-MNIDVGFKSA-N</t>
  </si>
  <si>
    <t>Sarsasapogenin</t>
  </si>
  <si>
    <t>C[C@@H]1[C@]2(OC[C@@H](C)CC2)O[C@@]3([H])C[C@@]4([H])[C@]5([H])CC[C@]6([H])C[C@@H](O)CC[C@]6(C)[C@@]5([H])CC[C@]4(C)[C@]31[H]</t>
  </si>
  <si>
    <t>C27H44O3</t>
  </si>
  <si>
    <t>GMBQZIIUCVWOCD-WWASVFFGSA-N</t>
  </si>
  <si>
    <t>1226.45025469445</t>
  </si>
  <si>
    <t>Scoparone</t>
  </si>
  <si>
    <t>O=C1C=CC2=CC(OC)=C(OC)C=C2O1</t>
  </si>
  <si>
    <t>C11H10O4</t>
  </si>
  <si>
    <t>GUAFOGOEJLSQBT-UHFFFAOYSA-N</t>
  </si>
  <si>
    <t>Sinomenine</t>
  </si>
  <si>
    <t>OC(C1=C2C[C@@]3([H])[C@](C=C4OC)([H])[C@@]1(CCN3C)CC4=O)=C(C=C2)OC</t>
  </si>
  <si>
    <t>C19H23NO4</t>
  </si>
  <si>
    <t>INYYVPJSBIVGPH-QHRIQVFBSA-N</t>
  </si>
  <si>
    <t>Solanidine</t>
  </si>
  <si>
    <t>[H][C@@]12CC=C3C[C@@H](O)CC[C@]3(C)[C@@]1([H])CC[C@]4(C)[C@@]5([H])[C@H](C)[C@@]6([H])CC[C@H](C)CN6[C@]([H])5C[C@@]24[H]</t>
  </si>
  <si>
    <t>C27H43NO</t>
  </si>
  <si>
    <t>JVKYZPBMZPJNAJ-OQFNDJACSA-N</t>
  </si>
  <si>
    <t>Songorine</t>
  </si>
  <si>
    <t>O[C@@H](CC[C@]1(C)[C@@]2([H])C3)C42[C@@](CC5=O)([H])[C@@](C[C@]5([H])C6=C)([C@@H]6O)C3C4N(C1)CC</t>
  </si>
  <si>
    <t>C22H31NO3</t>
  </si>
  <si>
    <t>CBOSLVQFGANWTL-VCKPGWDBSA-N</t>
  </si>
  <si>
    <t>Sophocarpine</t>
  </si>
  <si>
    <t>O=C1C=CC[C@]2([H])[C@@]3([H])CCCN4[C@@]3([H])[C@](CCC4)([H])CN21</t>
  </si>
  <si>
    <t>C15H22N2O</t>
  </si>
  <si>
    <t>AAGFPTSOPGCENQ-JLNYLFASSA-N</t>
  </si>
  <si>
    <t>Sophoraflavanone G</t>
  </si>
  <si>
    <t>O=C1C[C@@H](C2=CC=C(O)C=C2O)OC3=C(C[C@H](C(C)=C)C/C=C(C)\C)C(O)=CC(O)=C13</t>
  </si>
  <si>
    <t>C25H28O6</t>
  </si>
  <si>
    <t>XRYVAQQLDYTHCL-CMJOXMDJSA-N</t>
  </si>
  <si>
    <t>Sophoridine</t>
  </si>
  <si>
    <t>O=C1CCC[C@]2([H])[C@@]3([H])CCCN4[C@@]3([H])[C@@](CCC4)([H])CN21</t>
  </si>
  <si>
    <t>C15H24N2O</t>
  </si>
  <si>
    <t>ZSBXGIUJOOQZMP-BHPKHCPMSA-N</t>
  </si>
  <si>
    <t>Tectochrysin</t>
  </si>
  <si>
    <t>OC1=C2C(OC(C3=CC=CC=C3)=CC2=O)=CC(OC)=C1</t>
  </si>
  <si>
    <t>C16H12O4</t>
  </si>
  <si>
    <t>IRZVHDLBAYNPCT-UHFFFAOYSA-N</t>
  </si>
  <si>
    <t>Toralactone</t>
  </si>
  <si>
    <t>O=C1C2=C(O)C3=C(O)C=C(OC)C=C3C=C2C=C(C)O1</t>
  </si>
  <si>
    <t>C15H12O5</t>
  </si>
  <si>
    <t>WEHXAEGTVPWKDY-UHFFFAOYSA-N</t>
  </si>
  <si>
    <t>Triamcinolone</t>
  </si>
  <si>
    <t>F[C@@]1([C@]2(C=C3)C)[C@](CCC2=CC3=O)([H])[C@@](C[C@@H](O)[C@]4(O)C(CO)=O)([H])[C@]4(C)C[C@@H]1O</t>
  </si>
  <si>
    <t>C21H27FO6</t>
  </si>
  <si>
    <t>GFNANZIMVAIWHM-OBYCQNJPSA-N</t>
  </si>
  <si>
    <t>Tryptanthrin</t>
  </si>
  <si>
    <t>O=C1C2=CC=CC=C2N3C(C4=CC=CC=C4N=C13)=O</t>
  </si>
  <si>
    <t>C15H8N2O2</t>
  </si>
  <si>
    <t>VQQVWGVXDIPORV-UHFFFAOYSA-N</t>
  </si>
  <si>
    <t>Verbascoside</t>
  </si>
  <si>
    <t>O[C@@H]([C@H](OCCC1=CC(O)=C(O)C=C1)O2)[C@H]([C@@H]([C@H]2CO)OC(/C=C/C3=CC(O)=C(O)C=C3)=O)O[C@@](O[C@@H](C)[C@H](O)[C@H]4O)([H])[C@@H]4O</t>
  </si>
  <si>
    <t>C29H36O15</t>
  </si>
  <si>
    <t>FBSKJMQYURKNSU-ZLSOWSIRSA-N</t>
  </si>
  <si>
    <t>Viscidulin III</t>
  </si>
  <si>
    <t>O=C1C=C(C2=C(O)C=CC(O)=C2OC)OC3=C(OC)C(O)=CC(O)=C13</t>
  </si>
  <si>
    <t>C17H14O8</t>
  </si>
  <si>
    <t>CPFJPTACQDZPLS-UHFFFAOYSA-N</t>
  </si>
  <si>
    <t>Xanthone</t>
  </si>
  <si>
    <t>O=C1C2=C(OC3=C1C=CC=C3)C=CC=C2</t>
  </si>
  <si>
    <t>C13H8O2</t>
  </si>
  <si>
    <t>JNELGWHKGNBSMD-UHFFFAOYSA-N</t>
  </si>
  <si>
    <t>Ziyuglycoside I</t>
  </si>
  <si>
    <t>O[C@@H]1[C@@H](O)[C@]([H])(O[C@@H]2C(C)(C)[C@@](CC[C@]3(C)[C@]4([H])CC=C5[C@@]3(C)CC[C@]6(C(O[C@H]7[C@H](O)[C@@H](O)[C@H](O)[C@@H](CO)O7)=O)[C@@]5([H])[C@@](O)(C)[C@H](C)CC6)([H])[C@]4(C)CC2)OC[C@@H]1O</t>
  </si>
  <si>
    <t>C41H66O13</t>
  </si>
  <si>
    <t>WCHBFWOEFOZHMK-MLHVESHNSA-N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</si>
</sst>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0" fontId="2" fillId="0" borderId="0" xfId="0" applyFont="1">
      <alignment vertical="center"/>
    </xf>
    <xf numFmtId="177" fontId="3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quotePrefix="1">
      <alignment vertical="center"/>
    </xf>
    <xf numFmtId="0" fontId="0" fillId="0" borderId="0" xfId="0" applyAlignment="1" quotePrefix="1">
      <alignment horizontal="center" vertical="center" wrapText="1"/>
    </xf>
    <xf numFmtId="0" fontId="0" fillId="0" borderId="0" xfId="0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3" sqref="B13"/>
    </sheetView>
  </sheetViews>
  <sheetFormatPr defaultColWidth="8.875" defaultRowHeight="13.5" outlineLevelCol="1"/>
  <cols>
    <col min="1" max="1" width="14.875" customWidth="1"/>
    <col min="2" max="2" width="112.625" customWidth="1"/>
  </cols>
  <sheetData>
    <row r="1" spans="1:2">
      <c r="A1" s="4" t="s">
        <v>0</v>
      </c>
      <c r="B1" s="4" t="s">
        <v>1</v>
      </c>
    </row>
    <row r="2" spans="1:2">
      <c r="A2" s="4" t="s">
        <v>2</v>
      </c>
      <c r="B2" s="17" t="s">
        <v>3</v>
      </c>
    </row>
    <row r="3" spans="1:2">
      <c r="A3" s="4" t="s">
        <v>4</v>
      </c>
      <c r="B3" s="17" t="s">
        <v>5</v>
      </c>
    </row>
    <row r="4" spans="1:2">
      <c r="A4" s="4" t="s">
        <v>6</v>
      </c>
      <c r="B4" s="17" t="s">
        <v>7</v>
      </c>
    </row>
    <row r="5" spans="1:2">
      <c r="A5" s="4" t="s">
        <v>8</v>
      </c>
      <c r="B5" t="s">
        <v>9</v>
      </c>
    </row>
    <row r="6" spans="1:2">
      <c r="A6" s="4" t="s">
        <v>10</v>
      </c>
      <c r="B6" t="s">
        <v>11</v>
      </c>
    </row>
    <row r="7" spans="1:2">
      <c r="A7" s="4" t="s">
        <v>12</v>
      </c>
      <c r="B7" t="s">
        <v>13</v>
      </c>
    </row>
    <row r="8" spans="1:2">
      <c r="A8" s="4" t="s">
        <v>14</v>
      </c>
      <c r="B8" t="s">
        <v>15</v>
      </c>
    </row>
    <row r="9" spans="1:2">
      <c r="A9" s="4" t="s">
        <v>16</v>
      </c>
      <c r="B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29"/>
  <sheetViews>
    <sheetView zoomScale="130" zoomScaleNormal="130" workbookViewId="0">
      <selection activeCell="B11" sqref="B11"/>
    </sheetView>
  </sheetViews>
  <sheetFormatPr defaultColWidth="9.125" defaultRowHeight="13.5"/>
  <cols>
    <col min="3" max="6" width="18.375" customWidth="1"/>
  </cols>
  <sheetData>
    <row r="1" spans="1:17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</row>
    <row r="2" spans="1:176">
      <c r="A2" s="18" t="s">
        <v>194</v>
      </c>
      <c r="B2" t="s">
        <v>195</v>
      </c>
      <c r="C2">
        <v>50</v>
      </c>
      <c r="D2">
        <v>2.1</v>
      </c>
      <c r="E2">
        <v>3.5</v>
      </c>
      <c r="F2">
        <v>30</v>
      </c>
      <c r="G2">
        <v>0.2</v>
      </c>
      <c r="H2">
        <v>0.55125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</v>
      </c>
      <c r="S2" t="s">
        <v>196</v>
      </c>
      <c r="T2">
        <v>0</v>
      </c>
      <c r="V2">
        <v>0</v>
      </c>
      <c r="X2">
        <v>0</v>
      </c>
      <c r="Z2">
        <v>0</v>
      </c>
      <c r="AB2">
        <v>0</v>
      </c>
      <c r="AD2">
        <v>0</v>
      </c>
      <c r="AF2">
        <v>0</v>
      </c>
      <c r="AH2">
        <v>0</v>
      </c>
      <c r="AJ2">
        <v>0</v>
      </c>
      <c r="AL2">
        <v>0</v>
      </c>
      <c r="AN2">
        <v>0</v>
      </c>
      <c r="AP2">
        <v>0</v>
      </c>
      <c r="AR2">
        <v>0</v>
      </c>
      <c r="AT2">
        <v>0</v>
      </c>
      <c r="AV2">
        <v>3</v>
      </c>
      <c r="AW2">
        <v>0</v>
      </c>
      <c r="AX2">
        <v>100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</v>
      </c>
      <c r="BG2" t="s">
        <v>196</v>
      </c>
      <c r="BH2">
        <v>0</v>
      </c>
      <c r="BJ2">
        <v>0</v>
      </c>
      <c r="BL2">
        <v>0</v>
      </c>
      <c r="BN2">
        <v>0</v>
      </c>
      <c r="BP2">
        <v>0</v>
      </c>
      <c r="BR2">
        <v>0</v>
      </c>
      <c r="BT2">
        <v>0</v>
      </c>
      <c r="BV2">
        <v>0</v>
      </c>
      <c r="BX2">
        <v>0</v>
      </c>
      <c r="BZ2">
        <v>0</v>
      </c>
      <c r="CB2">
        <v>0</v>
      </c>
      <c r="CD2">
        <v>0</v>
      </c>
      <c r="CF2">
        <v>0</v>
      </c>
      <c r="CH2">
        <v>0</v>
      </c>
      <c r="CJ2">
        <v>3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V2">
        <v>0</v>
      </c>
      <c r="CX2">
        <v>0</v>
      </c>
      <c r="CZ2">
        <v>0</v>
      </c>
      <c r="DB2">
        <v>0</v>
      </c>
      <c r="DD2">
        <v>0</v>
      </c>
      <c r="DF2">
        <v>0</v>
      </c>
      <c r="DH2">
        <v>0</v>
      </c>
      <c r="DJ2">
        <v>0</v>
      </c>
      <c r="DL2">
        <v>0</v>
      </c>
      <c r="DN2">
        <v>0</v>
      </c>
      <c r="DP2">
        <v>0</v>
      </c>
      <c r="DR2">
        <v>0</v>
      </c>
      <c r="DT2">
        <v>0</v>
      </c>
      <c r="DV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J2">
        <v>0</v>
      </c>
      <c r="EL2">
        <v>0</v>
      </c>
      <c r="EN2">
        <v>0</v>
      </c>
      <c r="EP2">
        <v>0</v>
      </c>
      <c r="ER2">
        <v>0</v>
      </c>
      <c r="ET2">
        <v>0</v>
      </c>
      <c r="EV2">
        <v>0</v>
      </c>
      <c r="EX2">
        <v>0</v>
      </c>
      <c r="EZ2">
        <v>0</v>
      </c>
      <c r="FB2">
        <v>0</v>
      </c>
      <c r="FD2">
        <v>0</v>
      </c>
      <c r="FF2">
        <v>0</v>
      </c>
      <c r="FH2">
        <v>0</v>
      </c>
      <c r="FJ2">
        <v>0</v>
      </c>
      <c r="FL2">
        <v>0</v>
      </c>
      <c r="FM2">
        <v>90</v>
      </c>
      <c r="FN2">
        <v>10</v>
      </c>
      <c r="FO2">
        <v>0</v>
      </c>
      <c r="FP2">
        <v>0</v>
      </c>
      <c r="FQ2">
        <v>5</v>
      </c>
      <c r="FR2">
        <v>95</v>
      </c>
      <c r="FS2">
        <v>0</v>
      </c>
      <c r="FT2">
        <v>0</v>
      </c>
    </row>
    <row r="3" spans="1:176">
      <c r="A3" s="18" t="s">
        <v>197</v>
      </c>
      <c r="B3" t="s">
        <v>198</v>
      </c>
      <c r="C3">
        <v>100</v>
      </c>
      <c r="D3">
        <v>2.1</v>
      </c>
      <c r="E3">
        <v>3.5</v>
      </c>
      <c r="F3">
        <v>25</v>
      </c>
      <c r="G3">
        <v>0.3</v>
      </c>
      <c r="H3">
        <v>0.735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</v>
      </c>
      <c r="S3" t="s">
        <v>196</v>
      </c>
      <c r="T3">
        <v>0</v>
      </c>
      <c r="V3">
        <v>0</v>
      </c>
      <c r="X3">
        <v>0</v>
      </c>
      <c r="Z3">
        <v>0</v>
      </c>
      <c r="AB3">
        <v>0</v>
      </c>
      <c r="AD3">
        <v>0</v>
      </c>
      <c r="AF3">
        <v>0</v>
      </c>
      <c r="AH3">
        <v>0</v>
      </c>
      <c r="AJ3">
        <v>0</v>
      </c>
      <c r="AL3">
        <v>0</v>
      </c>
      <c r="AN3">
        <v>0</v>
      </c>
      <c r="AP3">
        <v>0</v>
      </c>
      <c r="AR3">
        <v>0</v>
      </c>
      <c r="AT3">
        <v>0</v>
      </c>
      <c r="AV3">
        <v>3</v>
      </c>
      <c r="AW3">
        <v>0</v>
      </c>
      <c r="AX3">
        <v>0</v>
      </c>
      <c r="AY3">
        <v>100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 t="s">
        <v>196</v>
      </c>
      <c r="BH3">
        <v>0</v>
      </c>
      <c r="BJ3">
        <v>0</v>
      </c>
      <c r="BL3">
        <v>0</v>
      </c>
      <c r="BN3">
        <v>0</v>
      </c>
      <c r="BP3">
        <v>0</v>
      </c>
      <c r="BR3">
        <v>0</v>
      </c>
      <c r="BT3">
        <v>0</v>
      </c>
      <c r="BV3">
        <v>0</v>
      </c>
      <c r="BX3">
        <v>0</v>
      </c>
      <c r="BZ3">
        <v>0</v>
      </c>
      <c r="CB3">
        <v>0</v>
      </c>
      <c r="CD3">
        <v>0</v>
      </c>
      <c r="CF3">
        <v>0</v>
      </c>
      <c r="CH3">
        <v>0</v>
      </c>
      <c r="CJ3">
        <v>3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V3">
        <v>0</v>
      </c>
      <c r="CX3">
        <v>0</v>
      </c>
      <c r="CZ3">
        <v>0</v>
      </c>
      <c r="DB3">
        <v>0</v>
      </c>
      <c r="DD3">
        <v>0</v>
      </c>
      <c r="DF3">
        <v>0</v>
      </c>
      <c r="DH3">
        <v>0</v>
      </c>
      <c r="DJ3">
        <v>0</v>
      </c>
      <c r="DL3">
        <v>0</v>
      </c>
      <c r="DN3">
        <v>0</v>
      </c>
      <c r="DP3">
        <v>0</v>
      </c>
      <c r="DR3">
        <v>0</v>
      </c>
      <c r="DT3">
        <v>0</v>
      </c>
      <c r="DV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J3">
        <v>0</v>
      </c>
      <c r="EL3">
        <v>0</v>
      </c>
      <c r="EN3">
        <v>0</v>
      </c>
      <c r="EP3">
        <v>0</v>
      </c>
      <c r="ER3">
        <v>0</v>
      </c>
      <c r="ET3">
        <v>0</v>
      </c>
      <c r="EV3">
        <v>0</v>
      </c>
      <c r="EX3">
        <v>0</v>
      </c>
      <c r="EZ3">
        <v>0</v>
      </c>
      <c r="FB3">
        <v>0</v>
      </c>
      <c r="FD3">
        <v>0</v>
      </c>
      <c r="FF3">
        <v>0</v>
      </c>
      <c r="FH3">
        <v>0</v>
      </c>
      <c r="FJ3">
        <v>0</v>
      </c>
      <c r="FL3">
        <v>0</v>
      </c>
      <c r="FM3">
        <v>5</v>
      </c>
      <c r="FN3">
        <v>95</v>
      </c>
      <c r="FO3">
        <v>0</v>
      </c>
      <c r="FP3">
        <v>0</v>
      </c>
      <c r="FQ3">
        <v>7</v>
      </c>
      <c r="FR3">
        <v>25</v>
      </c>
      <c r="FS3">
        <v>0</v>
      </c>
      <c r="FT3">
        <v>0</v>
      </c>
    </row>
    <row r="4" spans="1:176">
      <c r="A4" s="18" t="s">
        <v>199</v>
      </c>
      <c r="B4" t="s">
        <v>200</v>
      </c>
      <c r="C4">
        <v>100</v>
      </c>
      <c r="D4">
        <v>3</v>
      </c>
      <c r="E4">
        <v>2.7</v>
      </c>
      <c r="F4">
        <v>25</v>
      </c>
      <c r="G4">
        <v>0.4</v>
      </c>
      <c r="H4">
        <v>1.125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</v>
      </c>
      <c r="S4" t="s">
        <v>196</v>
      </c>
      <c r="T4">
        <v>0</v>
      </c>
      <c r="V4">
        <v>0</v>
      </c>
      <c r="X4">
        <v>0</v>
      </c>
      <c r="Z4">
        <v>0</v>
      </c>
      <c r="AB4">
        <v>0</v>
      </c>
      <c r="AD4">
        <v>0</v>
      </c>
      <c r="AF4">
        <v>0</v>
      </c>
      <c r="AH4">
        <v>0</v>
      </c>
      <c r="AJ4">
        <v>0</v>
      </c>
      <c r="AL4">
        <v>0</v>
      </c>
      <c r="AN4">
        <v>0</v>
      </c>
      <c r="AP4">
        <v>0</v>
      </c>
      <c r="AR4">
        <v>0</v>
      </c>
      <c r="AT4">
        <v>0</v>
      </c>
      <c r="AV4">
        <v>3</v>
      </c>
      <c r="AW4">
        <v>0</v>
      </c>
      <c r="AX4">
        <v>0</v>
      </c>
      <c r="AY4">
        <v>100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</v>
      </c>
      <c r="BG4" t="s">
        <v>196</v>
      </c>
      <c r="BH4">
        <v>0</v>
      </c>
      <c r="BJ4">
        <v>0</v>
      </c>
      <c r="BL4">
        <v>0</v>
      </c>
      <c r="BN4">
        <v>0</v>
      </c>
      <c r="BP4">
        <v>0</v>
      </c>
      <c r="BR4">
        <v>0</v>
      </c>
      <c r="BT4">
        <v>0</v>
      </c>
      <c r="BV4">
        <v>0</v>
      </c>
      <c r="BX4">
        <v>0</v>
      </c>
      <c r="BZ4">
        <v>0</v>
      </c>
      <c r="CB4">
        <v>0</v>
      </c>
      <c r="CD4">
        <v>0</v>
      </c>
      <c r="CF4">
        <v>0</v>
      </c>
      <c r="CH4">
        <v>0</v>
      </c>
      <c r="CJ4">
        <v>3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V4">
        <v>0</v>
      </c>
      <c r="CX4">
        <v>0</v>
      </c>
      <c r="CZ4">
        <v>0</v>
      </c>
      <c r="DB4">
        <v>0</v>
      </c>
      <c r="DD4">
        <v>0</v>
      </c>
      <c r="DF4">
        <v>0</v>
      </c>
      <c r="DH4">
        <v>0</v>
      </c>
      <c r="DJ4">
        <v>0</v>
      </c>
      <c r="DL4">
        <v>0</v>
      </c>
      <c r="DN4">
        <v>0</v>
      </c>
      <c r="DP4">
        <v>0</v>
      </c>
      <c r="DR4">
        <v>0</v>
      </c>
      <c r="DT4">
        <v>0</v>
      </c>
      <c r="DV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J4">
        <v>0</v>
      </c>
      <c r="EL4">
        <v>0</v>
      </c>
      <c r="EN4">
        <v>0</v>
      </c>
      <c r="EP4">
        <v>0</v>
      </c>
      <c r="ER4">
        <v>0</v>
      </c>
      <c r="ET4">
        <v>0</v>
      </c>
      <c r="EV4">
        <v>0</v>
      </c>
      <c r="EX4">
        <v>0</v>
      </c>
      <c r="EZ4">
        <v>0</v>
      </c>
      <c r="FB4">
        <v>0</v>
      </c>
      <c r="FD4">
        <v>0</v>
      </c>
      <c r="FF4">
        <v>0</v>
      </c>
      <c r="FH4">
        <v>0</v>
      </c>
      <c r="FJ4">
        <v>0</v>
      </c>
      <c r="FL4">
        <v>0</v>
      </c>
      <c r="FM4">
        <v>95</v>
      </c>
      <c r="FN4">
        <v>5</v>
      </c>
      <c r="FO4">
        <v>0</v>
      </c>
      <c r="FP4">
        <v>0</v>
      </c>
      <c r="FQ4">
        <v>10</v>
      </c>
      <c r="FR4">
        <v>90</v>
      </c>
      <c r="FS4">
        <v>0</v>
      </c>
      <c r="FT4">
        <v>0</v>
      </c>
    </row>
    <row r="5" customFormat="1" spans="1:176">
      <c r="A5" s="18" t="s">
        <v>201</v>
      </c>
      <c r="B5" t="s">
        <v>202</v>
      </c>
      <c r="C5">
        <v>150</v>
      </c>
      <c r="D5">
        <v>2.1</v>
      </c>
      <c r="E5">
        <v>1.7</v>
      </c>
      <c r="F5">
        <v>30</v>
      </c>
      <c r="G5">
        <v>0.3</v>
      </c>
      <c r="H5">
        <v>1.1025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</v>
      </c>
      <c r="S5" t="s">
        <v>196</v>
      </c>
      <c r="T5">
        <v>0</v>
      </c>
      <c r="V5">
        <v>0</v>
      </c>
      <c r="X5">
        <v>0</v>
      </c>
      <c r="Z5">
        <v>0</v>
      </c>
      <c r="AB5">
        <v>0</v>
      </c>
      <c r="AD5">
        <v>0</v>
      </c>
      <c r="AF5">
        <v>0</v>
      </c>
      <c r="AH5">
        <v>0</v>
      </c>
      <c r="AJ5">
        <v>0</v>
      </c>
      <c r="AL5">
        <v>0</v>
      </c>
      <c r="AN5">
        <v>0</v>
      </c>
      <c r="AP5">
        <v>0</v>
      </c>
      <c r="AR5">
        <v>0</v>
      </c>
      <c r="AT5">
        <v>0</v>
      </c>
      <c r="AV5">
        <v>3</v>
      </c>
      <c r="AW5">
        <v>0</v>
      </c>
      <c r="AX5">
        <v>0</v>
      </c>
      <c r="AY5">
        <v>100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</v>
      </c>
      <c r="BG5" t="s">
        <v>196</v>
      </c>
      <c r="BH5">
        <v>0</v>
      </c>
      <c r="BJ5">
        <v>0</v>
      </c>
      <c r="BL5">
        <v>0</v>
      </c>
      <c r="BN5">
        <v>0</v>
      </c>
      <c r="BP5">
        <v>0</v>
      </c>
      <c r="BR5">
        <v>0</v>
      </c>
      <c r="BT5">
        <v>0</v>
      </c>
      <c r="BV5">
        <v>0</v>
      </c>
      <c r="BX5">
        <v>0</v>
      </c>
      <c r="BZ5">
        <v>0</v>
      </c>
      <c r="CB5">
        <v>0</v>
      </c>
      <c r="CD5">
        <v>0</v>
      </c>
      <c r="CF5">
        <v>0</v>
      </c>
      <c r="CH5">
        <v>0</v>
      </c>
      <c r="CJ5">
        <v>3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V5">
        <v>0</v>
      </c>
      <c r="CX5">
        <v>0</v>
      </c>
      <c r="CZ5">
        <v>0</v>
      </c>
      <c r="DB5">
        <v>0</v>
      </c>
      <c r="DD5">
        <v>0</v>
      </c>
      <c r="DF5">
        <v>0</v>
      </c>
      <c r="DH5">
        <v>0</v>
      </c>
      <c r="DJ5">
        <v>0</v>
      </c>
      <c r="DL5">
        <v>0</v>
      </c>
      <c r="DN5">
        <v>0</v>
      </c>
      <c r="DP5">
        <v>0</v>
      </c>
      <c r="DR5">
        <v>0</v>
      </c>
      <c r="DT5">
        <v>0</v>
      </c>
      <c r="DV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J5">
        <v>0</v>
      </c>
      <c r="EL5">
        <v>0</v>
      </c>
      <c r="EN5">
        <v>0</v>
      </c>
      <c r="EP5">
        <v>0</v>
      </c>
      <c r="ER5">
        <v>0</v>
      </c>
      <c r="ET5">
        <v>0</v>
      </c>
      <c r="EV5">
        <v>0</v>
      </c>
      <c r="EX5">
        <v>0</v>
      </c>
      <c r="EZ5">
        <v>0</v>
      </c>
      <c r="FB5">
        <v>0</v>
      </c>
      <c r="FD5">
        <v>0</v>
      </c>
      <c r="FF5">
        <v>0</v>
      </c>
      <c r="FH5">
        <v>0</v>
      </c>
      <c r="FJ5">
        <v>0</v>
      </c>
      <c r="FL5">
        <v>0</v>
      </c>
      <c r="FM5">
        <v>98</v>
      </c>
      <c r="FN5">
        <v>2</v>
      </c>
      <c r="FO5">
        <v>0</v>
      </c>
      <c r="FP5">
        <v>0</v>
      </c>
      <c r="FQ5">
        <v>0</v>
      </c>
      <c r="FR5">
        <v>100</v>
      </c>
      <c r="FS5">
        <v>0</v>
      </c>
      <c r="FT5">
        <v>0</v>
      </c>
    </row>
    <row r="6" customFormat="1" spans="1:176">
      <c r="A6" s="18" t="s">
        <v>203</v>
      </c>
      <c r="B6" t="s">
        <v>202</v>
      </c>
      <c r="C6">
        <v>150</v>
      </c>
      <c r="D6">
        <v>2.1</v>
      </c>
      <c r="E6">
        <v>1.7</v>
      </c>
      <c r="F6">
        <v>30</v>
      </c>
      <c r="G6">
        <v>0.3</v>
      </c>
      <c r="H6">
        <v>1.1025</v>
      </c>
      <c r="I6">
        <v>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0.1</v>
      </c>
      <c r="S6" t="s">
        <v>196</v>
      </c>
      <c r="T6">
        <v>0</v>
      </c>
      <c r="V6">
        <v>0</v>
      </c>
      <c r="X6">
        <v>0</v>
      </c>
      <c r="Z6">
        <v>0</v>
      </c>
      <c r="AB6">
        <v>0</v>
      </c>
      <c r="AD6">
        <v>0</v>
      </c>
      <c r="AF6">
        <v>0</v>
      </c>
      <c r="AH6">
        <v>0</v>
      </c>
      <c r="AJ6">
        <v>0</v>
      </c>
      <c r="AL6">
        <v>0</v>
      </c>
      <c r="AN6">
        <v>0</v>
      </c>
      <c r="AP6">
        <v>0</v>
      </c>
      <c r="AR6">
        <v>0</v>
      </c>
      <c r="AT6">
        <v>0</v>
      </c>
      <c r="AV6">
        <v>3</v>
      </c>
      <c r="AW6">
        <v>0</v>
      </c>
      <c r="AX6">
        <v>0</v>
      </c>
      <c r="AY6">
        <v>100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</v>
      </c>
      <c r="BG6" t="s">
        <v>196</v>
      </c>
      <c r="BH6">
        <v>0</v>
      </c>
      <c r="BJ6">
        <v>0</v>
      </c>
      <c r="BL6">
        <v>0</v>
      </c>
      <c r="BN6">
        <v>0</v>
      </c>
      <c r="BP6">
        <v>0</v>
      </c>
      <c r="BR6">
        <v>0</v>
      </c>
      <c r="BT6">
        <v>0</v>
      </c>
      <c r="BV6">
        <v>0</v>
      </c>
      <c r="BX6">
        <v>0</v>
      </c>
      <c r="BZ6">
        <v>0</v>
      </c>
      <c r="CB6">
        <v>0</v>
      </c>
      <c r="CD6">
        <v>0</v>
      </c>
      <c r="CF6">
        <v>0</v>
      </c>
      <c r="CH6">
        <v>0</v>
      </c>
      <c r="CJ6">
        <v>3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V6">
        <v>0</v>
      </c>
      <c r="CX6">
        <v>0</v>
      </c>
      <c r="CZ6">
        <v>0</v>
      </c>
      <c r="DB6">
        <v>0</v>
      </c>
      <c r="DD6">
        <v>0</v>
      </c>
      <c r="DF6">
        <v>0</v>
      </c>
      <c r="DH6">
        <v>0</v>
      </c>
      <c r="DJ6">
        <v>0</v>
      </c>
      <c r="DL6">
        <v>0</v>
      </c>
      <c r="DN6">
        <v>0</v>
      </c>
      <c r="DP6">
        <v>0</v>
      </c>
      <c r="DR6">
        <v>0</v>
      </c>
      <c r="DT6">
        <v>0</v>
      </c>
      <c r="DV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J6">
        <v>0</v>
      </c>
      <c r="EL6">
        <v>0</v>
      </c>
      <c r="EN6">
        <v>0</v>
      </c>
      <c r="EP6">
        <v>0</v>
      </c>
      <c r="ER6">
        <v>0</v>
      </c>
      <c r="ET6">
        <v>0</v>
      </c>
      <c r="EV6">
        <v>0</v>
      </c>
      <c r="EX6">
        <v>0</v>
      </c>
      <c r="EZ6">
        <v>0</v>
      </c>
      <c r="FB6">
        <v>0</v>
      </c>
      <c r="FD6">
        <v>0</v>
      </c>
      <c r="FF6">
        <v>0</v>
      </c>
      <c r="FH6">
        <v>0</v>
      </c>
      <c r="FJ6">
        <v>0</v>
      </c>
      <c r="FL6">
        <v>0</v>
      </c>
      <c r="FM6">
        <v>98</v>
      </c>
      <c r="FN6">
        <v>2</v>
      </c>
      <c r="FO6">
        <v>0</v>
      </c>
      <c r="FP6">
        <v>0</v>
      </c>
      <c r="FQ6">
        <v>0</v>
      </c>
      <c r="FR6">
        <v>100</v>
      </c>
      <c r="FS6">
        <v>0</v>
      </c>
      <c r="FT6">
        <v>0</v>
      </c>
    </row>
    <row r="7" customFormat="1" spans="1:176">
      <c r="A7" s="18" t="s">
        <v>204</v>
      </c>
      <c r="B7" t="s">
        <v>205</v>
      </c>
      <c r="C7">
        <v>150</v>
      </c>
      <c r="D7">
        <v>2.1</v>
      </c>
      <c r="E7">
        <v>1.7</v>
      </c>
      <c r="F7">
        <v>40</v>
      </c>
      <c r="G7">
        <v>0.5</v>
      </c>
      <c r="H7">
        <v>0.6615</v>
      </c>
      <c r="I7">
        <v>5</v>
      </c>
      <c r="J7">
        <v>0</v>
      </c>
      <c r="K7">
        <v>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0</v>
      </c>
      <c r="V7">
        <v>0</v>
      </c>
      <c r="X7">
        <v>0</v>
      </c>
      <c r="Z7">
        <v>0</v>
      </c>
      <c r="AB7">
        <v>0</v>
      </c>
      <c r="AD7">
        <v>0</v>
      </c>
      <c r="AF7">
        <v>0</v>
      </c>
      <c r="AH7">
        <v>0</v>
      </c>
      <c r="AJ7">
        <v>0</v>
      </c>
      <c r="AL7">
        <v>0</v>
      </c>
      <c r="AN7">
        <v>0</v>
      </c>
      <c r="AP7">
        <v>0</v>
      </c>
      <c r="AR7">
        <v>0</v>
      </c>
      <c r="AT7">
        <v>0</v>
      </c>
      <c r="AV7">
        <v>0</v>
      </c>
      <c r="AW7">
        <v>70</v>
      </c>
      <c r="AX7">
        <v>0</v>
      </c>
      <c r="AY7">
        <v>30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J7">
        <v>0</v>
      </c>
      <c r="BL7">
        <v>0</v>
      </c>
      <c r="BN7">
        <v>0</v>
      </c>
      <c r="BP7">
        <v>10</v>
      </c>
      <c r="BQ7" t="s">
        <v>206</v>
      </c>
      <c r="BR7">
        <v>0</v>
      </c>
      <c r="BT7">
        <v>0</v>
      </c>
      <c r="BV7">
        <v>0</v>
      </c>
      <c r="BX7">
        <v>0</v>
      </c>
      <c r="BZ7">
        <v>0</v>
      </c>
      <c r="CB7">
        <v>0</v>
      </c>
      <c r="CD7">
        <v>0</v>
      </c>
      <c r="CF7">
        <v>0</v>
      </c>
      <c r="CH7">
        <v>0</v>
      </c>
      <c r="CJ7">
        <v>6.5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V7">
        <v>0</v>
      </c>
      <c r="CX7">
        <v>0</v>
      </c>
      <c r="CZ7">
        <v>0</v>
      </c>
      <c r="DB7">
        <v>0</v>
      </c>
      <c r="DD7">
        <v>0</v>
      </c>
      <c r="DF7">
        <v>0</v>
      </c>
      <c r="DH7">
        <v>0</v>
      </c>
      <c r="DJ7">
        <v>0</v>
      </c>
      <c r="DL7">
        <v>0</v>
      </c>
      <c r="DN7">
        <v>0</v>
      </c>
      <c r="DP7">
        <v>0</v>
      </c>
      <c r="DR7">
        <v>0</v>
      </c>
      <c r="DT7">
        <v>0</v>
      </c>
      <c r="DV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J7">
        <v>0</v>
      </c>
      <c r="EL7">
        <v>0</v>
      </c>
      <c r="EN7">
        <v>0</v>
      </c>
      <c r="EP7">
        <v>0</v>
      </c>
      <c r="ER7">
        <v>0</v>
      </c>
      <c r="ET7">
        <v>0</v>
      </c>
      <c r="EV7">
        <v>0</v>
      </c>
      <c r="EX7">
        <v>0</v>
      </c>
      <c r="EZ7">
        <v>0</v>
      </c>
      <c r="FB7">
        <v>0</v>
      </c>
      <c r="FD7">
        <v>0</v>
      </c>
      <c r="FF7">
        <v>0</v>
      </c>
      <c r="FH7">
        <v>0</v>
      </c>
      <c r="FJ7">
        <v>0</v>
      </c>
      <c r="FL7">
        <v>0</v>
      </c>
      <c r="FM7">
        <v>100</v>
      </c>
      <c r="FN7">
        <v>0</v>
      </c>
      <c r="FO7">
        <v>0</v>
      </c>
      <c r="FP7">
        <v>0</v>
      </c>
      <c r="FQ7">
        <v>30</v>
      </c>
      <c r="FR7">
        <v>70</v>
      </c>
      <c r="FS7">
        <v>0</v>
      </c>
      <c r="FT7">
        <v>0</v>
      </c>
    </row>
    <row r="8" customFormat="1" spans="1:176">
      <c r="A8" s="18" t="s">
        <v>207</v>
      </c>
      <c r="B8" t="s">
        <v>205</v>
      </c>
      <c r="C8">
        <v>150</v>
      </c>
      <c r="D8">
        <v>2.1</v>
      </c>
      <c r="E8">
        <v>1.7</v>
      </c>
      <c r="F8">
        <v>40</v>
      </c>
      <c r="G8">
        <v>0.5</v>
      </c>
      <c r="H8">
        <v>0.6615</v>
      </c>
      <c r="I8">
        <v>5</v>
      </c>
      <c r="J8">
        <v>0</v>
      </c>
      <c r="K8">
        <v>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0</v>
      </c>
      <c r="V8">
        <v>0</v>
      </c>
      <c r="X8">
        <v>0</v>
      </c>
      <c r="Z8">
        <v>0</v>
      </c>
      <c r="AB8">
        <v>0</v>
      </c>
      <c r="AD8">
        <v>0</v>
      </c>
      <c r="AF8">
        <v>0</v>
      </c>
      <c r="AH8">
        <v>0</v>
      </c>
      <c r="AJ8">
        <v>0</v>
      </c>
      <c r="AL8">
        <v>0</v>
      </c>
      <c r="AN8">
        <v>0</v>
      </c>
      <c r="AP8">
        <v>0</v>
      </c>
      <c r="AR8">
        <v>0</v>
      </c>
      <c r="AT8">
        <v>0</v>
      </c>
      <c r="AV8">
        <v>0</v>
      </c>
      <c r="AW8">
        <v>70</v>
      </c>
      <c r="AX8">
        <v>0</v>
      </c>
      <c r="AY8">
        <v>30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J8">
        <v>0</v>
      </c>
      <c r="BL8">
        <v>0</v>
      </c>
      <c r="BN8">
        <v>0</v>
      </c>
      <c r="BP8">
        <v>10</v>
      </c>
      <c r="BQ8" t="s">
        <v>206</v>
      </c>
      <c r="BR8">
        <v>0</v>
      </c>
      <c r="BT8">
        <v>0</v>
      </c>
      <c r="BV8">
        <v>0</v>
      </c>
      <c r="BX8">
        <v>0</v>
      </c>
      <c r="BZ8">
        <v>0</v>
      </c>
      <c r="CB8">
        <v>0</v>
      </c>
      <c r="CD8">
        <v>0</v>
      </c>
      <c r="CF8">
        <v>0</v>
      </c>
      <c r="CH8">
        <v>0</v>
      </c>
      <c r="CJ8">
        <v>6.5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V8">
        <v>0</v>
      </c>
      <c r="CX8">
        <v>0</v>
      </c>
      <c r="CZ8">
        <v>0</v>
      </c>
      <c r="DB8">
        <v>0</v>
      </c>
      <c r="DD8">
        <v>0</v>
      </c>
      <c r="DF8">
        <v>0</v>
      </c>
      <c r="DH8">
        <v>0</v>
      </c>
      <c r="DJ8">
        <v>0</v>
      </c>
      <c r="DL8">
        <v>0</v>
      </c>
      <c r="DN8">
        <v>0</v>
      </c>
      <c r="DP8">
        <v>0</v>
      </c>
      <c r="DR8">
        <v>0</v>
      </c>
      <c r="DT8">
        <v>0</v>
      </c>
      <c r="DV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J8">
        <v>0</v>
      </c>
      <c r="EL8">
        <v>0</v>
      </c>
      <c r="EN8">
        <v>0</v>
      </c>
      <c r="EP8">
        <v>0</v>
      </c>
      <c r="ER8">
        <v>0</v>
      </c>
      <c r="ET8">
        <v>0</v>
      </c>
      <c r="EV8">
        <v>0</v>
      </c>
      <c r="EX8">
        <v>0</v>
      </c>
      <c r="EZ8">
        <v>0</v>
      </c>
      <c r="FB8">
        <v>0</v>
      </c>
      <c r="FD8">
        <v>0</v>
      </c>
      <c r="FF8">
        <v>0</v>
      </c>
      <c r="FH8">
        <v>0</v>
      </c>
      <c r="FJ8">
        <v>0</v>
      </c>
      <c r="FL8">
        <v>0</v>
      </c>
      <c r="FM8">
        <v>100</v>
      </c>
      <c r="FN8">
        <v>0</v>
      </c>
      <c r="FO8">
        <v>0</v>
      </c>
      <c r="FP8">
        <v>0</v>
      </c>
      <c r="FQ8">
        <v>30</v>
      </c>
      <c r="FR8">
        <v>70</v>
      </c>
      <c r="FS8">
        <v>0</v>
      </c>
      <c r="FT8">
        <v>0</v>
      </c>
    </row>
    <row r="9" customFormat="1" spans="1:176">
      <c r="A9" s="18" t="s">
        <v>208</v>
      </c>
      <c r="B9" t="s">
        <v>209</v>
      </c>
      <c r="C9">
        <v>150</v>
      </c>
      <c r="D9">
        <v>2.1</v>
      </c>
      <c r="E9">
        <v>5</v>
      </c>
      <c r="F9">
        <v>40</v>
      </c>
      <c r="G9">
        <v>0.3</v>
      </c>
      <c r="H9">
        <v>1.1025</v>
      </c>
      <c r="I9">
        <v>0</v>
      </c>
      <c r="J9">
        <v>0</v>
      </c>
      <c r="K9">
        <v>100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>
        <v>0</v>
      </c>
      <c r="V9">
        <v>0</v>
      </c>
      <c r="X9">
        <v>0</v>
      </c>
      <c r="Z9">
        <v>0</v>
      </c>
      <c r="AB9">
        <v>0</v>
      </c>
      <c r="AD9">
        <v>0</v>
      </c>
      <c r="AF9">
        <v>0</v>
      </c>
      <c r="AH9">
        <v>0</v>
      </c>
      <c r="AJ9">
        <v>0</v>
      </c>
      <c r="AL9">
        <v>0</v>
      </c>
      <c r="AN9">
        <v>0</v>
      </c>
      <c r="AP9">
        <v>0</v>
      </c>
      <c r="AR9">
        <v>0</v>
      </c>
      <c r="AT9">
        <v>0</v>
      </c>
      <c r="AV9">
        <v>0</v>
      </c>
      <c r="AW9">
        <v>100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J9">
        <v>0</v>
      </c>
      <c r="BL9">
        <v>0</v>
      </c>
      <c r="BN9">
        <v>0</v>
      </c>
      <c r="BP9">
        <v>2.8</v>
      </c>
      <c r="BQ9" t="s">
        <v>206</v>
      </c>
      <c r="BR9">
        <v>0</v>
      </c>
      <c r="BT9">
        <v>0</v>
      </c>
      <c r="BV9">
        <v>0</v>
      </c>
      <c r="BX9">
        <v>0</v>
      </c>
      <c r="BZ9">
        <v>0</v>
      </c>
      <c r="CB9">
        <v>0</v>
      </c>
      <c r="CD9">
        <v>0</v>
      </c>
      <c r="CF9">
        <v>0</v>
      </c>
      <c r="CH9">
        <v>0</v>
      </c>
      <c r="CJ9">
        <v>9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V9">
        <v>0</v>
      </c>
      <c r="CX9">
        <v>0</v>
      </c>
      <c r="CZ9">
        <v>0</v>
      </c>
      <c r="DB9">
        <v>0</v>
      </c>
      <c r="DD9">
        <v>0</v>
      </c>
      <c r="DF9">
        <v>0</v>
      </c>
      <c r="DH9">
        <v>0</v>
      </c>
      <c r="DJ9">
        <v>0</v>
      </c>
      <c r="DL9">
        <v>0</v>
      </c>
      <c r="DN9">
        <v>0</v>
      </c>
      <c r="DP9">
        <v>0</v>
      </c>
      <c r="DR9">
        <v>0</v>
      </c>
      <c r="DT9">
        <v>0</v>
      </c>
      <c r="DV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J9">
        <v>0</v>
      </c>
      <c r="EL9">
        <v>0</v>
      </c>
      <c r="EN9">
        <v>0</v>
      </c>
      <c r="EP9">
        <v>0</v>
      </c>
      <c r="ER9">
        <v>0</v>
      </c>
      <c r="ET9">
        <v>0</v>
      </c>
      <c r="EV9">
        <v>0</v>
      </c>
      <c r="EX9">
        <v>0</v>
      </c>
      <c r="EZ9">
        <v>0</v>
      </c>
      <c r="FB9">
        <v>0</v>
      </c>
      <c r="FD9">
        <v>0</v>
      </c>
      <c r="FF9">
        <v>0</v>
      </c>
      <c r="FH9">
        <v>0</v>
      </c>
      <c r="FJ9">
        <v>0</v>
      </c>
      <c r="FL9">
        <v>0</v>
      </c>
      <c r="FM9">
        <v>95</v>
      </c>
      <c r="FN9">
        <v>5</v>
      </c>
      <c r="FO9">
        <v>0</v>
      </c>
      <c r="FP9">
        <v>0</v>
      </c>
      <c r="FQ9">
        <v>49</v>
      </c>
      <c r="FR9">
        <v>51</v>
      </c>
      <c r="FS9">
        <v>0</v>
      </c>
      <c r="FT9">
        <v>0</v>
      </c>
    </row>
    <row r="10" customFormat="1" spans="1:176">
      <c r="A10" s="18" t="s">
        <v>210</v>
      </c>
      <c r="B10" t="s">
        <v>211</v>
      </c>
      <c r="C10">
        <v>150</v>
      </c>
      <c r="D10">
        <v>2.1</v>
      </c>
      <c r="E10">
        <v>1.7</v>
      </c>
      <c r="F10">
        <v>40</v>
      </c>
      <c r="G10">
        <v>0.6</v>
      </c>
      <c r="H10">
        <v>0.55125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0.1</v>
      </c>
      <c r="S10" t="s">
        <v>196</v>
      </c>
      <c r="T10">
        <v>0</v>
      </c>
      <c r="V10">
        <v>0</v>
      </c>
      <c r="X10">
        <v>0</v>
      </c>
      <c r="Z10">
        <v>0</v>
      </c>
      <c r="AB10">
        <v>20</v>
      </c>
      <c r="AC10" t="s">
        <v>206</v>
      </c>
      <c r="AD10">
        <v>0</v>
      </c>
      <c r="AF10">
        <v>0</v>
      </c>
      <c r="AH10">
        <v>0</v>
      </c>
      <c r="AJ10">
        <v>0</v>
      </c>
      <c r="AL10">
        <v>0</v>
      </c>
      <c r="AN10">
        <v>0</v>
      </c>
      <c r="AP10">
        <v>0</v>
      </c>
      <c r="AR10">
        <v>0</v>
      </c>
      <c r="AT10">
        <v>0</v>
      </c>
      <c r="AV10">
        <v>3.5</v>
      </c>
      <c r="AW10">
        <v>0</v>
      </c>
      <c r="AX10">
        <v>0</v>
      </c>
      <c r="AY10">
        <v>100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</v>
      </c>
      <c r="BG10" t="s">
        <v>196</v>
      </c>
      <c r="BH10">
        <v>0</v>
      </c>
      <c r="BJ10">
        <v>0</v>
      </c>
      <c r="BL10">
        <v>0</v>
      </c>
      <c r="BN10">
        <v>0</v>
      </c>
      <c r="BP10">
        <v>0</v>
      </c>
      <c r="BR10">
        <v>0</v>
      </c>
      <c r="BT10">
        <v>0</v>
      </c>
      <c r="BV10">
        <v>0</v>
      </c>
      <c r="BX10">
        <v>0</v>
      </c>
      <c r="BZ10">
        <v>0</v>
      </c>
      <c r="CB10">
        <v>0</v>
      </c>
      <c r="CD10">
        <v>0</v>
      </c>
      <c r="CF10">
        <v>0</v>
      </c>
      <c r="CH10">
        <v>0</v>
      </c>
      <c r="CJ10">
        <v>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V10">
        <v>0</v>
      </c>
      <c r="CX10">
        <v>0</v>
      </c>
      <c r="CZ10">
        <v>0</v>
      </c>
      <c r="DB10">
        <v>0</v>
      </c>
      <c r="DD10">
        <v>0</v>
      </c>
      <c r="DF10">
        <v>0</v>
      </c>
      <c r="DH10">
        <v>0</v>
      </c>
      <c r="DJ10">
        <v>0</v>
      </c>
      <c r="DL10">
        <v>0</v>
      </c>
      <c r="DN10">
        <v>0</v>
      </c>
      <c r="DP10">
        <v>0</v>
      </c>
      <c r="DR10">
        <v>0</v>
      </c>
      <c r="DT10">
        <v>0</v>
      </c>
      <c r="DV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J10">
        <v>0</v>
      </c>
      <c r="EL10">
        <v>0</v>
      </c>
      <c r="EN10">
        <v>0</v>
      </c>
      <c r="EP10">
        <v>0</v>
      </c>
      <c r="ER10">
        <v>0</v>
      </c>
      <c r="ET10">
        <v>0</v>
      </c>
      <c r="EV10">
        <v>0</v>
      </c>
      <c r="EX10">
        <v>0</v>
      </c>
      <c r="EZ10">
        <v>0</v>
      </c>
      <c r="FB10">
        <v>0</v>
      </c>
      <c r="FD10">
        <v>0</v>
      </c>
      <c r="FF10">
        <v>0</v>
      </c>
      <c r="FH10">
        <v>0</v>
      </c>
      <c r="FJ10">
        <v>0</v>
      </c>
      <c r="FL10">
        <v>0</v>
      </c>
      <c r="FM10">
        <v>5</v>
      </c>
      <c r="FN10">
        <v>95</v>
      </c>
      <c r="FO10">
        <v>0</v>
      </c>
      <c r="FP10">
        <v>0</v>
      </c>
      <c r="FQ10">
        <v>5</v>
      </c>
      <c r="FR10">
        <v>95</v>
      </c>
      <c r="FS10">
        <v>0</v>
      </c>
      <c r="FT10">
        <v>0</v>
      </c>
    </row>
    <row r="11" customFormat="1" spans="1:176">
      <c r="A11" s="18" t="s">
        <v>212</v>
      </c>
      <c r="B11" t="s">
        <v>213</v>
      </c>
      <c r="C11">
        <v>150</v>
      </c>
      <c r="D11">
        <v>2.1</v>
      </c>
      <c r="E11">
        <v>1.8</v>
      </c>
      <c r="F11">
        <v>45</v>
      </c>
      <c r="G11">
        <v>0.6</v>
      </c>
      <c r="H11">
        <v>0.55125</v>
      </c>
      <c r="I11">
        <v>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0.1</v>
      </c>
      <c r="S11" t="s">
        <v>196</v>
      </c>
      <c r="T11">
        <v>0</v>
      </c>
      <c r="V11">
        <v>0</v>
      </c>
      <c r="X11">
        <v>0</v>
      </c>
      <c r="Z11">
        <v>0</v>
      </c>
      <c r="AB11">
        <v>0</v>
      </c>
      <c r="AD11">
        <v>0</v>
      </c>
      <c r="AF11">
        <v>0</v>
      </c>
      <c r="AH11">
        <v>0</v>
      </c>
      <c r="AJ11">
        <v>0</v>
      </c>
      <c r="AL11">
        <v>0</v>
      </c>
      <c r="AN11">
        <v>0</v>
      </c>
      <c r="AP11">
        <v>0</v>
      </c>
      <c r="AR11">
        <v>0</v>
      </c>
      <c r="AT11">
        <v>0</v>
      </c>
      <c r="AV11">
        <v>3</v>
      </c>
      <c r="AW11">
        <v>0</v>
      </c>
      <c r="AX11">
        <v>0</v>
      </c>
      <c r="AY11">
        <v>100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</v>
      </c>
      <c r="BG11" t="s">
        <v>196</v>
      </c>
      <c r="BH11">
        <v>0</v>
      </c>
      <c r="BJ11">
        <v>0</v>
      </c>
      <c r="BL11">
        <v>0</v>
      </c>
      <c r="BN11">
        <v>0</v>
      </c>
      <c r="BP11">
        <v>0</v>
      </c>
      <c r="BR11">
        <v>0</v>
      </c>
      <c r="BT11">
        <v>0</v>
      </c>
      <c r="BV11">
        <v>0</v>
      </c>
      <c r="BX11">
        <v>0</v>
      </c>
      <c r="BZ11">
        <v>0</v>
      </c>
      <c r="CB11">
        <v>0</v>
      </c>
      <c r="CD11">
        <v>0</v>
      </c>
      <c r="CF11">
        <v>0</v>
      </c>
      <c r="CH11">
        <v>0</v>
      </c>
      <c r="CJ11">
        <v>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V11">
        <v>0</v>
      </c>
      <c r="CX11">
        <v>0</v>
      </c>
      <c r="CZ11">
        <v>0</v>
      </c>
      <c r="DB11">
        <v>0</v>
      </c>
      <c r="DD11">
        <v>0</v>
      </c>
      <c r="DF11">
        <v>0</v>
      </c>
      <c r="DH11">
        <v>0</v>
      </c>
      <c r="DJ11">
        <v>0</v>
      </c>
      <c r="DL11">
        <v>0</v>
      </c>
      <c r="DN11">
        <v>0</v>
      </c>
      <c r="DP11">
        <v>0</v>
      </c>
      <c r="DR11">
        <v>0</v>
      </c>
      <c r="DT11">
        <v>0</v>
      </c>
      <c r="DV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J11">
        <v>0</v>
      </c>
      <c r="EL11">
        <v>0</v>
      </c>
      <c r="EN11">
        <v>0</v>
      </c>
      <c r="EP11">
        <v>0</v>
      </c>
      <c r="ER11">
        <v>0</v>
      </c>
      <c r="ET11">
        <v>0</v>
      </c>
      <c r="EV11">
        <v>0</v>
      </c>
      <c r="EX11">
        <v>0</v>
      </c>
      <c r="EZ11">
        <v>0</v>
      </c>
      <c r="FB11">
        <v>0</v>
      </c>
      <c r="FD11">
        <v>0</v>
      </c>
      <c r="FF11">
        <v>0</v>
      </c>
      <c r="FH11">
        <v>0</v>
      </c>
      <c r="FJ11">
        <v>0</v>
      </c>
      <c r="FL11">
        <v>0</v>
      </c>
      <c r="FM11">
        <v>99</v>
      </c>
      <c r="FN11">
        <v>1</v>
      </c>
      <c r="FO11">
        <v>0</v>
      </c>
      <c r="FP11">
        <v>0</v>
      </c>
      <c r="FQ11">
        <v>99</v>
      </c>
      <c r="FR11">
        <v>1</v>
      </c>
      <c r="FS11">
        <v>0</v>
      </c>
      <c r="FT11">
        <v>0</v>
      </c>
    </row>
    <row r="12" customFormat="1" spans="1:176">
      <c r="A12" s="18" t="s">
        <v>214</v>
      </c>
      <c r="B12" t="s">
        <v>213</v>
      </c>
      <c r="C12">
        <v>150</v>
      </c>
      <c r="D12">
        <v>2.1</v>
      </c>
      <c r="E12">
        <v>1.8</v>
      </c>
      <c r="F12">
        <v>45</v>
      </c>
      <c r="G12">
        <v>0.6</v>
      </c>
      <c r="H12">
        <v>0.55125</v>
      </c>
      <c r="I12">
        <v>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</v>
      </c>
      <c r="S12" t="s">
        <v>196</v>
      </c>
      <c r="T12">
        <v>0</v>
      </c>
      <c r="V12">
        <v>0</v>
      </c>
      <c r="X12">
        <v>0</v>
      </c>
      <c r="Z12">
        <v>0</v>
      </c>
      <c r="AB12">
        <v>0</v>
      </c>
      <c r="AD12">
        <v>0</v>
      </c>
      <c r="AF12">
        <v>0</v>
      </c>
      <c r="AH12">
        <v>0</v>
      </c>
      <c r="AJ12">
        <v>0</v>
      </c>
      <c r="AL12">
        <v>0</v>
      </c>
      <c r="AN12">
        <v>0</v>
      </c>
      <c r="AP12">
        <v>0</v>
      </c>
      <c r="AR12">
        <v>0</v>
      </c>
      <c r="AT12">
        <v>0</v>
      </c>
      <c r="AV12">
        <v>3</v>
      </c>
      <c r="AW12">
        <v>0</v>
      </c>
      <c r="AX12">
        <v>0</v>
      </c>
      <c r="AY12">
        <v>100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 t="s">
        <v>196</v>
      </c>
      <c r="BH12">
        <v>0</v>
      </c>
      <c r="BJ12">
        <v>0</v>
      </c>
      <c r="BL12">
        <v>0</v>
      </c>
      <c r="BN12">
        <v>0</v>
      </c>
      <c r="BP12">
        <v>0</v>
      </c>
      <c r="BR12">
        <v>0</v>
      </c>
      <c r="BT12">
        <v>0</v>
      </c>
      <c r="BV12">
        <v>0</v>
      </c>
      <c r="BX12">
        <v>0</v>
      </c>
      <c r="BZ12">
        <v>0</v>
      </c>
      <c r="CB12">
        <v>0</v>
      </c>
      <c r="CD12">
        <v>0</v>
      </c>
      <c r="CF12">
        <v>0</v>
      </c>
      <c r="CH12">
        <v>0</v>
      </c>
      <c r="CJ12">
        <v>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V12">
        <v>0</v>
      </c>
      <c r="CX12">
        <v>0</v>
      </c>
      <c r="CZ12">
        <v>0</v>
      </c>
      <c r="DB12">
        <v>0</v>
      </c>
      <c r="DD12">
        <v>0</v>
      </c>
      <c r="DF12">
        <v>0</v>
      </c>
      <c r="DH12">
        <v>0</v>
      </c>
      <c r="DJ12">
        <v>0</v>
      </c>
      <c r="DL12">
        <v>0</v>
      </c>
      <c r="DN12">
        <v>0</v>
      </c>
      <c r="DP12">
        <v>0</v>
      </c>
      <c r="DR12">
        <v>0</v>
      </c>
      <c r="DT12">
        <v>0</v>
      </c>
      <c r="DV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J12">
        <v>0</v>
      </c>
      <c r="EL12">
        <v>0</v>
      </c>
      <c r="EN12">
        <v>0</v>
      </c>
      <c r="EP12">
        <v>0</v>
      </c>
      <c r="ER12">
        <v>0</v>
      </c>
      <c r="ET12">
        <v>0</v>
      </c>
      <c r="EV12">
        <v>0</v>
      </c>
      <c r="EX12">
        <v>0</v>
      </c>
      <c r="EZ12">
        <v>0</v>
      </c>
      <c r="FB12">
        <v>0</v>
      </c>
      <c r="FD12">
        <v>0</v>
      </c>
      <c r="FF12">
        <v>0</v>
      </c>
      <c r="FH12">
        <v>0</v>
      </c>
      <c r="FJ12">
        <v>0</v>
      </c>
      <c r="FL12">
        <v>0</v>
      </c>
      <c r="FM12">
        <v>99</v>
      </c>
      <c r="FN12">
        <v>1</v>
      </c>
      <c r="FO12">
        <v>0</v>
      </c>
      <c r="FP12">
        <v>0</v>
      </c>
      <c r="FQ12">
        <v>99</v>
      </c>
      <c r="FR12">
        <v>1</v>
      </c>
      <c r="FS12">
        <v>0</v>
      </c>
      <c r="FT12">
        <v>0</v>
      </c>
    </row>
    <row r="13" customFormat="1" spans="1:176">
      <c r="A13" s="18" t="s">
        <v>215</v>
      </c>
      <c r="B13" t="s">
        <v>216</v>
      </c>
      <c r="C13">
        <v>100</v>
      </c>
      <c r="D13">
        <v>1</v>
      </c>
      <c r="E13">
        <v>100</v>
      </c>
      <c r="F13">
        <v>40</v>
      </c>
      <c r="G13">
        <v>0.4</v>
      </c>
      <c r="H13">
        <v>0.125</v>
      </c>
      <c r="I13">
        <v>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</v>
      </c>
      <c r="S13" t="s">
        <v>196</v>
      </c>
      <c r="T13">
        <v>0</v>
      </c>
      <c r="V13">
        <v>0</v>
      </c>
      <c r="X13">
        <v>0</v>
      </c>
      <c r="Z13">
        <v>0</v>
      </c>
      <c r="AB13">
        <v>0</v>
      </c>
      <c r="AD13">
        <v>0</v>
      </c>
      <c r="AF13">
        <v>0</v>
      </c>
      <c r="AH13">
        <v>0</v>
      </c>
      <c r="AJ13">
        <v>0</v>
      </c>
      <c r="AL13">
        <v>0</v>
      </c>
      <c r="AN13">
        <v>0</v>
      </c>
      <c r="AP13">
        <v>0</v>
      </c>
      <c r="AR13">
        <v>0</v>
      </c>
      <c r="AT13">
        <v>0</v>
      </c>
      <c r="AV13">
        <v>3</v>
      </c>
      <c r="AW13">
        <v>0</v>
      </c>
      <c r="AX13">
        <v>100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</v>
      </c>
      <c r="BG13" t="s">
        <v>196</v>
      </c>
      <c r="BH13">
        <v>0</v>
      </c>
      <c r="BJ13">
        <v>0</v>
      </c>
      <c r="BL13">
        <v>0</v>
      </c>
      <c r="BN13">
        <v>0</v>
      </c>
      <c r="BP13">
        <v>0</v>
      </c>
      <c r="BR13">
        <v>0</v>
      </c>
      <c r="BT13">
        <v>0</v>
      </c>
      <c r="BV13">
        <v>0</v>
      </c>
      <c r="BX13">
        <v>0</v>
      </c>
      <c r="BZ13">
        <v>0</v>
      </c>
      <c r="CB13">
        <v>0</v>
      </c>
      <c r="CD13">
        <v>0</v>
      </c>
      <c r="CF13">
        <v>0</v>
      </c>
      <c r="CH13">
        <v>0</v>
      </c>
      <c r="CJ13">
        <v>3</v>
      </c>
      <c r="CK13">
        <v>0</v>
      </c>
      <c r="CL13">
        <v>0</v>
      </c>
      <c r="CM13">
        <v>100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V13">
        <v>0</v>
      </c>
      <c r="CX13">
        <v>0</v>
      </c>
      <c r="CZ13">
        <v>0</v>
      </c>
      <c r="DB13">
        <v>0</v>
      </c>
      <c r="DD13">
        <v>0</v>
      </c>
      <c r="DF13">
        <v>0</v>
      </c>
      <c r="DH13">
        <v>0</v>
      </c>
      <c r="DJ13">
        <v>0</v>
      </c>
      <c r="DL13">
        <v>0</v>
      </c>
      <c r="DN13">
        <v>0</v>
      </c>
      <c r="DP13">
        <v>0</v>
      </c>
      <c r="DR13">
        <v>0</v>
      </c>
      <c r="DT13">
        <v>0</v>
      </c>
      <c r="DV13">
        <v>0</v>
      </c>
      <c r="DX13">
        <v>0</v>
      </c>
      <c r="DY13">
        <v>0</v>
      </c>
      <c r="DZ13">
        <v>0</v>
      </c>
      <c r="EA13">
        <v>0</v>
      </c>
      <c r="EB13">
        <v>50</v>
      </c>
      <c r="EC13">
        <v>50</v>
      </c>
      <c r="ED13">
        <v>0</v>
      </c>
      <c r="EE13">
        <v>0</v>
      </c>
      <c r="EF13">
        <v>0</v>
      </c>
      <c r="EG13">
        <v>0</v>
      </c>
      <c r="EH13">
        <v>0</v>
      </c>
      <c r="EJ13">
        <v>0</v>
      </c>
      <c r="EL13">
        <v>0</v>
      </c>
      <c r="EN13">
        <v>0</v>
      </c>
      <c r="EP13">
        <v>0</v>
      </c>
      <c r="ER13">
        <v>0</v>
      </c>
      <c r="ET13">
        <v>0</v>
      </c>
      <c r="EV13">
        <v>0</v>
      </c>
      <c r="EX13">
        <v>0</v>
      </c>
      <c r="EZ13">
        <v>0</v>
      </c>
      <c r="FB13">
        <v>0</v>
      </c>
      <c r="FD13">
        <v>0</v>
      </c>
      <c r="FF13">
        <v>0</v>
      </c>
      <c r="FH13">
        <v>0</v>
      </c>
      <c r="FJ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</row>
    <row r="14" customFormat="1" spans="1:176">
      <c r="A14" s="18" t="s">
        <v>217</v>
      </c>
      <c r="B14" t="s">
        <v>216</v>
      </c>
      <c r="C14">
        <v>100</v>
      </c>
      <c r="D14">
        <v>1</v>
      </c>
      <c r="E14">
        <v>100</v>
      </c>
      <c r="F14">
        <v>40</v>
      </c>
      <c r="G14">
        <v>0.4</v>
      </c>
      <c r="H14">
        <v>0.125</v>
      </c>
      <c r="I14">
        <v>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  <c r="V14">
        <v>0</v>
      </c>
      <c r="X14">
        <v>0</v>
      </c>
      <c r="Z14">
        <v>0</v>
      </c>
      <c r="AB14">
        <v>0</v>
      </c>
      <c r="AD14">
        <v>0</v>
      </c>
      <c r="AF14">
        <v>0</v>
      </c>
      <c r="AH14">
        <v>1</v>
      </c>
      <c r="AI14" t="s">
        <v>206</v>
      </c>
      <c r="AJ14">
        <v>0</v>
      </c>
      <c r="AL14">
        <v>0</v>
      </c>
      <c r="AN14">
        <v>0</v>
      </c>
      <c r="AP14">
        <v>0</v>
      </c>
      <c r="AR14">
        <v>0</v>
      </c>
      <c r="AT14">
        <v>0</v>
      </c>
      <c r="AV14">
        <v>0</v>
      </c>
      <c r="AW14">
        <v>0</v>
      </c>
      <c r="AX14">
        <v>100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J14">
        <v>0</v>
      </c>
      <c r="BL14">
        <v>0</v>
      </c>
      <c r="BN14">
        <v>0</v>
      </c>
      <c r="BP14">
        <v>0</v>
      </c>
      <c r="BR14">
        <v>0</v>
      </c>
      <c r="BT14">
        <v>0</v>
      </c>
      <c r="BV14">
        <v>1</v>
      </c>
      <c r="BW14" t="s">
        <v>206</v>
      </c>
      <c r="BX14">
        <v>0</v>
      </c>
      <c r="BZ14">
        <v>0</v>
      </c>
      <c r="CB14">
        <v>0</v>
      </c>
      <c r="CD14">
        <v>0</v>
      </c>
      <c r="CF14">
        <v>0</v>
      </c>
      <c r="CH14">
        <v>0</v>
      </c>
      <c r="CJ14">
        <v>0</v>
      </c>
      <c r="CK14">
        <v>0</v>
      </c>
      <c r="CL14">
        <v>0</v>
      </c>
      <c r="CM14">
        <v>100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V14">
        <v>0</v>
      </c>
      <c r="CX14">
        <v>0</v>
      </c>
      <c r="CZ14">
        <v>0</v>
      </c>
      <c r="DB14">
        <v>0</v>
      </c>
      <c r="DD14">
        <v>0</v>
      </c>
      <c r="DF14">
        <v>0</v>
      </c>
      <c r="DH14">
        <v>0</v>
      </c>
      <c r="DJ14">
        <v>0</v>
      </c>
      <c r="DL14">
        <v>0</v>
      </c>
      <c r="DN14">
        <v>0</v>
      </c>
      <c r="DP14">
        <v>0</v>
      </c>
      <c r="DR14">
        <v>0</v>
      </c>
      <c r="DT14">
        <v>0</v>
      </c>
      <c r="DV14">
        <v>0</v>
      </c>
      <c r="DX14">
        <v>0</v>
      </c>
      <c r="DY14">
        <v>0</v>
      </c>
      <c r="DZ14">
        <v>0</v>
      </c>
      <c r="EA14">
        <v>0</v>
      </c>
      <c r="EB14">
        <v>50</v>
      </c>
      <c r="EC14">
        <v>50</v>
      </c>
      <c r="ED14">
        <v>0</v>
      </c>
      <c r="EE14">
        <v>0</v>
      </c>
      <c r="EF14">
        <v>0</v>
      </c>
      <c r="EG14">
        <v>0</v>
      </c>
      <c r="EH14">
        <v>0</v>
      </c>
      <c r="EJ14">
        <v>0</v>
      </c>
      <c r="EL14">
        <v>0</v>
      </c>
      <c r="EN14">
        <v>0</v>
      </c>
      <c r="EP14">
        <v>0</v>
      </c>
      <c r="ER14">
        <v>0</v>
      </c>
      <c r="ET14">
        <v>0</v>
      </c>
      <c r="EV14">
        <v>0</v>
      </c>
      <c r="EX14">
        <v>0</v>
      </c>
      <c r="EZ14">
        <v>0</v>
      </c>
      <c r="FB14">
        <v>0</v>
      </c>
      <c r="FD14">
        <v>0</v>
      </c>
      <c r="FF14">
        <v>0</v>
      </c>
      <c r="FH14">
        <v>0</v>
      </c>
      <c r="FJ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</row>
    <row r="15" customFormat="1" spans="1:176">
      <c r="A15" s="18" t="s">
        <v>218</v>
      </c>
      <c r="B15" t="s">
        <v>219</v>
      </c>
      <c r="C15">
        <v>50</v>
      </c>
      <c r="D15">
        <v>2.1</v>
      </c>
      <c r="E15">
        <v>1.7</v>
      </c>
      <c r="F15">
        <v>40</v>
      </c>
      <c r="G15">
        <v>0.6</v>
      </c>
      <c r="H15">
        <v>0.18375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</v>
      </c>
      <c r="S15" t="s">
        <v>196</v>
      </c>
      <c r="T15">
        <v>0</v>
      </c>
      <c r="V15">
        <v>0</v>
      </c>
      <c r="X15">
        <v>0</v>
      </c>
      <c r="Z15">
        <v>0</v>
      </c>
      <c r="AB15">
        <v>0</v>
      </c>
      <c r="AD15">
        <v>0</v>
      </c>
      <c r="AF15">
        <v>0</v>
      </c>
      <c r="AH15">
        <v>0</v>
      </c>
      <c r="AJ15">
        <v>0</v>
      </c>
      <c r="AL15">
        <v>0</v>
      </c>
      <c r="AN15">
        <v>0</v>
      </c>
      <c r="AP15">
        <v>0</v>
      </c>
      <c r="AR15">
        <v>0</v>
      </c>
      <c r="AT15">
        <v>0</v>
      </c>
      <c r="AV15">
        <v>3</v>
      </c>
      <c r="AW15">
        <v>0</v>
      </c>
      <c r="AX15">
        <v>0</v>
      </c>
      <c r="AY15">
        <v>100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</v>
      </c>
      <c r="BG15" t="s">
        <v>196</v>
      </c>
      <c r="BH15">
        <v>0</v>
      </c>
      <c r="BJ15">
        <v>0</v>
      </c>
      <c r="BL15">
        <v>0</v>
      </c>
      <c r="BN15">
        <v>0</v>
      </c>
      <c r="BP15">
        <v>0</v>
      </c>
      <c r="BR15">
        <v>0</v>
      </c>
      <c r="BT15">
        <v>0</v>
      </c>
      <c r="BV15">
        <v>0</v>
      </c>
      <c r="BX15">
        <v>0</v>
      </c>
      <c r="BZ15">
        <v>0</v>
      </c>
      <c r="CB15">
        <v>0</v>
      </c>
      <c r="CD15">
        <v>0</v>
      </c>
      <c r="CF15">
        <v>0</v>
      </c>
      <c r="CH15">
        <v>0</v>
      </c>
      <c r="CJ15">
        <v>3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V15">
        <v>0</v>
      </c>
      <c r="CX15">
        <v>0</v>
      </c>
      <c r="CZ15">
        <v>0</v>
      </c>
      <c r="DB15">
        <v>0</v>
      </c>
      <c r="DD15">
        <v>0</v>
      </c>
      <c r="DF15">
        <v>0</v>
      </c>
      <c r="DH15">
        <v>0</v>
      </c>
      <c r="DJ15">
        <v>0</v>
      </c>
      <c r="DL15">
        <v>0</v>
      </c>
      <c r="DN15">
        <v>0</v>
      </c>
      <c r="DP15">
        <v>0</v>
      </c>
      <c r="DR15">
        <v>0</v>
      </c>
      <c r="DT15">
        <v>0</v>
      </c>
      <c r="DV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J15">
        <v>0</v>
      </c>
      <c r="EL15">
        <v>0</v>
      </c>
      <c r="EN15">
        <v>0</v>
      </c>
      <c r="EP15">
        <v>0</v>
      </c>
      <c r="ER15">
        <v>0</v>
      </c>
      <c r="ET15">
        <v>0</v>
      </c>
      <c r="EV15">
        <v>0</v>
      </c>
      <c r="EX15">
        <v>0</v>
      </c>
      <c r="EZ15">
        <v>0</v>
      </c>
      <c r="FB15">
        <v>0</v>
      </c>
      <c r="FD15">
        <v>0</v>
      </c>
      <c r="FF15">
        <v>0</v>
      </c>
      <c r="FH15">
        <v>0</v>
      </c>
      <c r="FJ15">
        <v>0</v>
      </c>
      <c r="FL15">
        <v>0</v>
      </c>
      <c r="FM15">
        <v>95</v>
      </c>
      <c r="FN15">
        <v>5</v>
      </c>
      <c r="FO15">
        <v>0</v>
      </c>
      <c r="FP15">
        <v>0</v>
      </c>
      <c r="FQ15">
        <v>0.5</v>
      </c>
      <c r="FR15">
        <v>99.5</v>
      </c>
      <c r="FS15">
        <v>0</v>
      </c>
      <c r="FT15">
        <v>0</v>
      </c>
    </row>
    <row r="16" customFormat="1" spans="1:176">
      <c r="A16" s="18" t="s">
        <v>220</v>
      </c>
      <c r="B16" t="s">
        <v>221</v>
      </c>
      <c r="C16">
        <v>150</v>
      </c>
      <c r="D16">
        <v>3</v>
      </c>
      <c r="E16">
        <v>2.6</v>
      </c>
      <c r="F16">
        <v>40</v>
      </c>
      <c r="G16">
        <v>0.35</v>
      </c>
      <c r="H16" s="18" t="s">
        <v>222</v>
      </c>
      <c r="I16">
        <v>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</v>
      </c>
      <c r="S16" t="s">
        <v>196</v>
      </c>
      <c r="T16">
        <v>0</v>
      </c>
      <c r="V16">
        <v>0</v>
      </c>
      <c r="X16">
        <v>0</v>
      </c>
      <c r="Z16">
        <v>0</v>
      </c>
      <c r="AB16">
        <v>0</v>
      </c>
      <c r="AD16">
        <v>0</v>
      </c>
      <c r="AF16">
        <v>0</v>
      </c>
      <c r="AH16">
        <v>0</v>
      </c>
      <c r="AJ16">
        <v>0</v>
      </c>
      <c r="AL16">
        <v>0</v>
      </c>
      <c r="AN16">
        <v>0</v>
      </c>
      <c r="AP16">
        <v>0</v>
      </c>
      <c r="AR16">
        <v>0</v>
      </c>
      <c r="AT16">
        <v>0</v>
      </c>
      <c r="AV16">
        <v>3</v>
      </c>
      <c r="AW16">
        <v>0</v>
      </c>
      <c r="AX16">
        <v>0</v>
      </c>
      <c r="AY16">
        <v>100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J16">
        <v>0</v>
      </c>
      <c r="BL16">
        <v>0</v>
      </c>
      <c r="BN16">
        <v>0</v>
      </c>
      <c r="BP16">
        <v>0</v>
      </c>
      <c r="BR16">
        <v>0</v>
      </c>
      <c r="BT16">
        <v>0</v>
      </c>
      <c r="BV16">
        <v>0</v>
      </c>
      <c r="BX16">
        <v>0</v>
      </c>
      <c r="BZ16">
        <v>0</v>
      </c>
      <c r="CB16">
        <v>0</v>
      </c>
      <c r="CD16">
        <v>0</v>
      </c>
      <c r="CF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V16">
        <v>0</v>
      </c>
      <c r="CX16">
        <v>0</v>
      </c>
      <c r="CZ16">
        <v>0</v>
      </c>
      <c r="DB16">
        <v>0</v>
      </c>
      <c r="DD16">
        <v>0</v>
      </c>
      <c r="DF16">
        <v>0</v>
      </c>
      <c r="DH16">
        <v>0</v>
      </c>
      <c r="DJ16">
        <v>0</v>
      </c>
      <c r="DL16">
        <v>0</v>
      </c>
      <c r="DN16">
        <v>0</v>
      </c>
      <c r="DP16">
        <v>0</v>
      </c>
      <c r="DR16">
        <v>0</v>
      </c>
      <c r="DT16">
        <v>0</v>
      </c>
      <c r="DV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J16">
        <v>0</v>
      </c>
      <c r="EL16">
        <v>0</v>
      </c>
      <c r="EN16">
        <v>0</v>
      </c>
      <c r="EP16">
        <v>0</v>
      </c>
      <c r="ER16">
        <v>0</v>
      </c>
      <c r="ET16">
        <v>0</v>
      </c>
      <c r="EV16">
        <v>0</v>
      </c>
      <c r="EX16">
        <v>0</v>
      </c>
      <c r="EZ16">
        <v>0</v>
      </c>
      <c r="FB16">
        <v>0</v>
      </c>
      <c r="FD16">
        <v>0</v>
      </c>
      <c r="FF16">
        <v>0</v>
      </c>
      <c r="FH16">
        <v>0</v>
      </c>
      <c r="FJ16">
        <v>0</v>
      </c>
      <c r="FL16">
        <v>0</v>
      </c>
      <c r="FM16">
        <v>5</v>
      </c>
      <c r="FN16">
        <v>95</v>
      </c>
      <c r="FO16">
        <v>0</v>
      </c>
      <c r="FP16">
        <v>0</v>
      </c>
      <c r="FQ16">
        <v>100</v>
      </c>
      <c r="FR16">
        <v>0</v>
      </c>
      <c r="FS16">
        <v>0</v>
      </c>
      <c r="FT16">
        <v>0</v>
      </c>
    </row>
    <row r="17" customFormat="1" spans="1:176">
      <c r="A17" s="18" t="s">
        <v>223</v>
      </c>
      <c r="B17" t="s">
        <v>221</v>
      </c>
      <c r="C17">
        <v>150</v>
      </c>
      <c r="D17">
        <v>3</v>
      </c>
      <c r="E17">
        <v>2.6</v>
      </c>
      <c r="F17">
        <v>40</v>
      </c>
      <c r="G17">
        <v>0.35</v>
      </c>
      <c r="H17" s="18" t="s">
        <v>222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0.1</v>
      </c>
      <c r="S17" t="s">
        <v>196</v>
      </c>
      <c r="T17">
        <v>0</v>
      </c>
      <c r="V17">
        <v>0</v>
      </c>
      <c r="X17">
        <v>0</v>
      </c>
      <c r="Z17">
        <v>0</v>
      </c>
      <c r="AB17">
        <v>0</v>
      </c>
      <c r="AD17">
        <v>0</v>
      </c>
      <c r="AF17">
        <v>0</v>
      </c>
      <c r="AH17">
        <v>0</v>
      </c>
      <c r="AJ17">
        <v>0</v>
      </c>
      <c r="AL17">
        <v>0</v>
      </c>
      <c r="AN17">
        <v>0</v>
      </c>
      <c r="AP17">
        <v>0</v>
      </c>
      <c r="AR17">
        <v>0</v>
      </c>
      <c r="AT17">
        <v>0</v>
      </c>
      <c r="AV17">
        <v>3</v>
      </c>
      <c r="AW17">
        <v>0</v>
      </c>
      <c r="AX17">
        <v>100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J17">
        <v>0</v>
      </c>
      <c r="BL17">
        <v>0</v>
      </c>
      <c r="BN17">
        <v>0</v>
      </c>
      <c r="BP17">
        <v>0</v>
      </c>
      <c r="BR17">
        <v>0</v>
      </c>
      <c r="BT17">
        <v>0</v>
      </c>
      <c r="BV17">
        <v>0</v>
      </c>
      <c r="BX17">
        <v>0</v>
      </c>
      <c r="BZ17">
        <v>0</v>
      </c>
      <c r="CB17">
        <v>0</v>
      </c>
      <c r="CD17">
        <v>0</v>
      </c>
      <c r="CF17">
        <v>0</v>
      </c>
      <c r="CH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V17">
        <v>0</v>
      </c>
      <c r="CX17">
        <v>0</v>
      </c>
      <c r="CZ17">
        <v>0</v>
      </c>
      <c r="DB17">
        <v>0</v>
      </c>
      <c r="DD17">
        <v>0</v>
      </c>
      <c r="DF17">
        <v>0</v>
      </c>
      <c r="DH17">
        <v>0</v>
      </c>
      <c r="DJ17">
        <v>0</v>
      </c>
      <c r="DL17">
        <v>0</v>
      </c>
      <c r="DN17">
        <v>0</v>
      </c>
      <c r="DP17">
        <v>0</v>
      </c>
      <c r="DR17">
        <v>0</v>
      </c>
      <c r="DT17">
        <v>0</v>
      </c>
      <c r="DV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J17">
        <v>0</v>
      </c>
      <c r="EL17">
        <v>0</v>
      </c>
      <c r="EN17">
        <v>0</v>
      </c>
      <c r="EP17">
        <v>0</v>
      </c>
      <c r="ER17">
        <v>0</v>
      </c>
      <c r="ET17">
        <v>0</v>
      </c>
      <c r="EV17">
        <v>0</v>
      </c>
      <c r="EX17">
        <v>0</v>
      </c>
      <c r="EZ17">
        <v>0</v>
      </c>
      <c r="FB17">
        <v>0</v>
      </c>
      <c r="FD17">
        <v>0</v>
      </c>
      <c r="FF17">
        <v>0</v>
      </c>
      <c r="FH17">
        <v>0</v>
      </c>
      <c r="FJ17">
        <v>0</v>
      </c>
      <c r="FL17">
        <v>0</v>
      </c>
      <c r="FM17">
        <v>5</v>
      </c>
      <c r="FN17">
        <v>95</v>
      </c>
      <c r="FO17">
        <v>0</v>
      </c>
      <c r="FP17">
        <v>0</v>
      </c>
      <c r="FQ17">
        <v>100</v>
      </c>
      <c r="FR17">
        <v>0</v>
      </c>
      <c r="FS17">
        <v>0</v>
      </c>
      <c r="FT17">
        <v>0</v>
      </c>
    </row>
    <row r="18" customFormat="1" spans="1:176">
      <c r="A18" s="18" t="s">
        <v>224</v>
      </c>
      <c r="B18" t="s">
        <v>225</v>
      </c>
      <c r="C18">
        <v>100</v>
      </c>
      <c r="D18">
        <v>2.1</v>
      </c>
      <c r="E18">
        <v>1.6</v>
      </c>
      <c r="F18">
        <v>40</v>
      </c>
      <c r="G18">
        <v>0.4</v>
      </c>
      <c r="H18">
        <v>0.55125</v>
      </c>
      <c r="I18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</v>
      </c>
      <c r="S18" t="s">
        <v>196</v>
      </c>
      <c r="T18">
        <v>0</v>
      </c>
      <c r="V18">
        <v>0</v>
      </c>
      <c r="X18">
        <v>0</v>
      </c>
      <c r="Z18">
        <v>0</v>
      </c>
      <c r="AB18">
        <v>0</v>
      </c>
      <c r="AD18">
        <v>0</v>
      </c>
      <c r="AF18">
        <v>0</v>
      </c>
      <c r="AH18">
        <v>0</v>
      </c>
      <c r="AJ18">
        <v>0</v>
      </c>
      <c r="AL18">
        <v>0</v>
      </c>
      <c r="AN18">
        <v>0</v>
      </c>
      <c r="AP18">
        <v>0</v>
      </c>
      <c r="AR18">
        <v>0</v>
      </c>
      <c r="AT18">
        <v>0</v>
      </c>
      <c r="AV18">
        <v>3</v>
      </c>
      <c r="AW18">
        <v>0</v>
      </c>
      <c r="AX18">
        <v>0</v>
      </c>
      <c r="AY18">
        <v>100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</v>
      </c>
      <c r="BG18" t="s">
        <v>196</v>
      </c>
      <c r="BH18">
        <v>0</v>
      </c>
      <c r="BJ18">
        <v>0</v>
      </c>
      <c r="BL18">
        <v>0</v>
      </c>
      <c r="BN18">
        <v>0</v>
      </c>
      <c r="BP18">
        <v>0</v>
      </c>
      <c r="BR18">
        <v>0</v>
      </c>
      <c r="BT18">
        <v>0</v>
      </c>
      <c r="BV18">
        <v>0</v>
      </c>
      <c r="BX18">
        <v>0</v>
      </c>
      <c r="BZ18">
        <v>0</v>
      </c>
      <c r="CB18">
        <v>0</v>
      </c>
      <c r="CD18">
        <v>0</v>
      </c>
      <c r="CF18">
        <v>0</v>
      </c>
      <c r="CH18">
        <v>0</v>
      </c>
      <c r="CJ18">
        <v>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V18">
        <v>0</v>
      </c>
      <c r="CX18">
        <v>0</v>
      </c>
      <c r="CZ18">
        <v>0</v>
      </c>
      <c r="DB18">
        <v>0</v>
      </c>
      <c r="DD18">
        <v>0</v>
      </c>
      <c r="DF18">
        <v>0</v>
      </c>
      <c r="DH18">
        <v>0</v>
      </c>
      <c r="DJ18">
        <v>0</v>
      </c>
      <c r="DL18">
        <v>0</v>
      </c>
      <c r="DN18">
        <v>0</v>
      </c>
      <c r="DP18">
        <v>0</v>
      </c>
      <c r="DR18">
        <v>0</v>
      </c>
      <c r="DT18">
        <v>0</v>
      </c>
      <c r="DV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J18">
        <v>0</v>
      </c>
      <c r="EL18">
        <v>0</v>
      </c>
      <c r="EN18">
        <v>0</v>
      </c>
      <c r="EP18">
        <v>0</v>
      </c>
      <c r="ER18">
        <v>0</v>
      </c>
      <c r="ET18">
        <v>0</v>
      </c>
      <c r="EV18">
        <v>0</v>
      </c>
      <c r="EX18">
        <v>0</v>
      </c>
      <c r="EZ18">
        <v>0</v>
      </c>
      <c r="FB18">
        <v>0</v>
      </c>
      <c r="FD18">
        <v>0</v>
      </c>
      <c r="FF18">
        <v>0</v>
      </c>
      <c r="FH18">
        <v>0</v>
      </c>
      <c r="FJ18">
        <v>0</v>
      </c>
      <c r="FM18">
        <v>95</v>
      </c>
      <c r="FN18">
        <v>5</v>
      </c>
      <c r="FO18">
        <v>0</v>
      </c>
      <c r="FP18">
        <v>0</v>
      </c>
      <c r="FQ18">
        <v>0.5</v>
      </c>
      <c r="FR18">
        <v>99.5</v>
      </c>
      <c r="FS18">
        <v>0</v>
      </c>
      <c r="FT18">
        <v>0</v>
      </c>
    </row>
    <row r="19" customFormat="1" spans="1:176">
      <c r="A19" s="18" t="s">
        <v>226</v>
      </c>
      <c r="B19" t="s">
        <v>225</v>
      </c>
      <c r="C19">
        <v>100</v>
      </c>
      <c r="D19">
        <v>2.1</v>
      </c>
      <c r="E19">
        <v>1.6</v>
      </c>
      <c r="F19">
        <v>30</v>
      </c>
      <c r="G19">
        <v>0.4</v>
      </c>
      <c r="H19">
        <v>0.55125</v>
      </c>
      <c r="I19">
        <v>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</v>
      </c>
      <c r="S19" t="s">
        <v>196</v>
      </c>
      <c r="T19">
        <v>0</v>
      </c>
      <c r="V19">
        <v>0</v>
      </c>
      <c r="X19">
        <v>0</v>
      </c>
      <c r="Z19">
        <v>0</v>
      </c>
      <c r="AB19">
        <v>0</v>
      </c>
      <c r="AD19">
        <v>0</v>
      </c>
      <c r="AF19">
        <v>0</v>
      </c>
      <c r="AH19">
        <v>0</v>
      </c>
      <c r="AJ19">
        <v>0</v>
      </c>
      <c r="AL19">
        <v>0</v>
      </c>
      <c r="AN19">
        <v>0</v>
      </c>
      <c r="AP19">
        <v>0</v>
      </c>
      <c r="AR19">
        <v>0</v>
      </c>
      <c r="AT19">
        <v>0</v>
      </c>
      <c r="AV19">
        <v>3</v>
      </c>
      <c r="AW19">
        <v>0</v>
      </c>
      <c r="AX19">
        <v>100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</v>
      </c>
      <c r="BG19" t="s">
        <v>196</v>
      </c>
      <c r="BH19">
        <v>0</v>
      </c>
      <c r="BJ19">
        <v>0</v>
      </c>
      <c r="BL19">
        <v>0</v>
      </c>
      <c r="BN19">
        <v>0</v>
      </c>
      <c r="BP19">
        <v>0</v>
      </c>
      <c r="BR19">
        <v>0</v>
      </c>
      <c r="BT19">
        <v>0</v>
      </c>
      <c r="BV19">
        <v>0</v>
      </c>
      <c r="BX19">
        <v>0</v>
      </c>
      <c r="BZ19">
        <v>0</v>
      </c>
      <c r="CB19">
        <v>0</v>
      </c>
      <c r="CD19">
        <v>0</v>
      </c>
      <c r="CF19">
        <v>0</v>
      </c>
      <c r="CH19">
        <v>0</v>
      </c>
      <c r="CJ19">
        <v>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V19">
        <v>0</v>
      </c>
      <c r="CX19">
        <v>0</v>
      </c>
      <c r="CZ19">
        <v>0</v>
      </c>
      <c r="DB19">
        <v>0</v>
      </c>
      <c r="DD19">
        <v>0</v>
      </c>
      <c r="DF19">
        <v>0</v>
      </c>
      <c r="DH19">
        <v>0</v>
      </c>
      <c r="DJ19">
        <v>0</v>
      </c>
      <c r="DL19">
        <v>0</v>
      </c>
      <c r="DN19">
        <v>0</v>
      </c>
      <c r="DP19">
        <v>0</v>
      </c>
      <c r="DR19">
        <v>0</v>
      </c>
      <c r="DT19">
        <v>0</v>
      </c>
      <c r="DV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J19">
        <v>0</v>
      </c>
      <c r="EL19">
        <v>0</v>
      </c>
      <c r="EN19">
        <v>0</v>
      </c>
      <c r="EP19">
        <v>0</v>
      </c>
      <c r="ER19">
        <v>0</v>
      </c>
      <c r="ET19">
        <v>0</v>
      </c>
      <c r="EV19">
        <v>0</v>
      </c>
      <c r="EX19">
        <v>0</v>
      </c>
      <c r="EZ19">
        <v>0</v>
      </c>
      <c r="FB19">
        <v>0</v>
      </c>
      <c r="FD19">
        <v>0</v>
      </c>
      <c r="FF19">
        <v>0</v>
      </c>
      <c r="FH19">
        <v>0</v>
      </c>
      <c r="FJ19">
        <v>0</v>
      </c>
      <c r="FM19">
        <v>95</v>
      </c>
      <c r="FN19">
        <v>5</v>
      </c>
      <c r="FO19">
        <v>0</v>
      </c>
      <c r="FP19">
        <v>0</v>
      </c>
      <c r="FQ19">
        <v>0.5</v>
      </c>
      <c r="FR19">
        <v>99.5</v>
      </c>
      <c r="FS19">
        <v>0</v>
      </c>
      <c r="FT19">
        <v>0</v>
      </c>
    </row>
    <row r="20" customFormat="1" spans="1:176">
      <c r="A20" s="18" t="s">
        <v>227</v>
      </c>
      <c r="B20" t="s">
        <v>225</v>
      </c>
      <c r="C20">
        <v>100</v>
      </c>
      <c r="D20">
        <v>2.1</v>
      </c>
      <c r="E20">
        <v>1.6</v>
      </c>
      <c r="F20">
        <v>40</v>
      </c>
      <c r="G20">
        <v>0.4</v>
      </c>
      <c r="H20">
        <v>0.55125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0.1</v>
      </c>
      <c r="S20" t="s">
        <v>196</v>
      </c>
      <c r="T20">
        <v>0</v>
      </c>
      <c r="V20">
        <v>0</v>
      </c>
      <c r="X20">
        <v>0</v>
      </c>
      <c r="Z20">
        <v>0</v>
      </c>
      <c r="AB20">
        <v>0</v>
      </c>
      <c r="AD20">
        <v>0</v>
      </c>
      <c r="AF20">
        <v>0</v>
      </c>
      <c r="AH20">
        <v>0</v>
      </c>
      <c r="AJ20">
        <v>0</v>
      </c>
      <c r="AL20">
        <v>0</v>
      </c>
      <c r="AN20">
        <v>0</v>
      </c>
      <c r="AP20">
        <v>0</v>
      </c>
      <c r="AR20">
        <v>0</v>
      </c>
      <c r="AT20">
        <v>0</v>
      </c>
      <c r="AV20">
        <v>3</v>
      </c>
      <c r="AW20">
        <v>0</v>
      </c>
      <c r="AX20">
        <v>100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</v>
      </c>
      <c r="BG20" t="s">
        <v>196</v>
      </c>
      <c r="BH20">
        <v>0</v>
      </c>
      <c r="BJ20">
        <v>0</v>
      </c>
      <c r="BL20">
        <v>0</v>
      </c>
      <c r="BN20">
        <v>0</v>
      </c>
      <c r="BP20">
        <v>0</v>
      </c>
      <c r="BR20">
        <v>0</v>
      </c>
      <c r="BT20">
        <v>0</v>
      </c>
      <c r="BV20">
        <v>0</v>
      </c>
      <c r="BX20">
        <v>0</v>
      </c>
      <c r="BZ20">
        <v>0</v>
      </c>
      <c r="CB20">
        <v>0</v>
      </c>
      <c r="CD20">
        <v>0</v>
      </c>
      <c r="CF20">
        <v>0</v>
      </c>
      <c r="CH20">
        <v>0</v>
      </c>
      <c r="CJ20">
        <v>3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V20">
        <v>0</v>
      </c>
      <c r="CX20">
        <v>0</v>
      </c>
      <c r="CZ20">
        <v>0</v>
      </c>
      <c r="DB20">
        <v>0</v>
      </c>
      <c r="DD20">
        <v>0</v>
      </c>
      <c r="DF20">
        <v>0</v>
      </c>
      <c r="DH20">
        <v>0</v>
      </c>
      <c r="DJ20">
        <v>0</v>
      </c>
      <c r="DL20">
        <v>0</v>
      </c>
      <c r="DN20">
        <v>0</v>
      </c>
      <c r="DP20">
        <v>0</v>
      </c>
      <c r="DR20">
        <v>0</v>
      </c>
      <c r="DT20">
        <v>0</v>
      </c>
      <c r="DV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J20">
        <v>0</v>
      </c>
      <c r="EL20">
        <v>0</v>
      </c>
      <c r="EN20">
        <v>0</v>
      </c>
      <c r="EP20">
        <v>0</v>
      </c>
      <c r="ER20">
        <v>0</v>
      </c>
      <c r="ET20">
        <v>0</v>
      </c>
      <c r="EV20">
        <v>0</v>
      </c>
      <c r="EX20">
        <v>0</v>
      </c>
      <c r="EZ20">
        <v>0</v>
      </c>
      <c r="FB20">
        <v>0</v>
      </c>
      <c r="FD20">
        <v>0</v>
      </c>
      <c r="FF20">
        <v>0</v>
      </c>
      <c r="FH20">
        <v>0</v>
      </c>
      <c r="FJ20">
        <v>0</v>
      </c>
      <c r="FM20">
        <v>95</v>
      </c>
      <c r="FN20">
        <v>5</v>
      </c>
      <c r="FO20">
        <v>0</v>
      </c>
      <c r="FP20">
        <v>0</v>
      </c>
      <c r="FQ20">
        <v>0.5</v>
      </c>
      <c r="FR20">
        <v>99.5</v>
      </c>
      <c r="FS20">
        <v>0</v>
      </c>
      <c r="FT20">
        <v>0</v>
      </c>
    </row>
    <row r="21" customFormat="1" spans="1:176">
      <c r="A21" s="18" t="s">
        <v>228</v>
      </c>
      <c r="B21" t="s">
        <v>225</v>
      </c>
      <c r="C21">
        <v>100</v>
      </c>
      <c r="D21">
        <v>2.1</v>
      </c>
      <c r="E21">
        <v>1.6</v>
      </c>
      <c r="F21">
        <v>50</v>
      </c>
      <c r="G21">
        <v>0.4</v>
      </c>
      <c r="H21">
        <v>0.55125</v>
      </c>
      <c r="I21">
        <v>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</v>
      </c>
      <c r="S21" t="s">
        <v>196</v>
      </c>
      <c r="T21">
        <v>0</v>
      </c>
      <c r="V21">
        <v>0</v>
      </c>
      <c r="X21">
        <v>0</v>
      </c>
      <c r="Z21">
        <v>0</v>
      </c>
      <c r="AB21">
        <v>0</v>
      </c>
      <c r="AD21">
        <v>0</v>
      </c>
      <c r="AF21">
        <v>0</v>
      </c>
      <c r="AH21">
        <v>0</v>
      </c>
      <c r="AJ21">
        <v>0</v>
      </c>
      <c r="AL21">
        <v>0</v>
      </c>
      <c r="AN21">
        <v>0</v>
      </c>
      <c r="AP21">
        <v>0</v>
      </c>
      <c r="AR21">
        <v>0</v>
      </c>
      <c r="AT21">
        <v>0</v>
      </c>
      <c r="AV21">
        <v>3</v>
      </c>
      <c r="AW21">
        <v>0</v>
      </c>
      <c r="AX21">
        <v>100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0.1</v>
      </c>
      <c r="BG21" t="s">
        <v>196</v>
      </c>
      <c r="BH21">
        <v>0</v>
      </c>
      <c r="BJ21">
        <v>0</v>
      </c>
      <c r="BL21">
        <v>0</v>
      </c>
      <c r="BN21">
        <v>0</v>
      </c>
      <c r="BP21">
        <v>0</v>
      </c>
      <c r="BR21">
        <v>0</v>
      </c>
      <c r="BT21">
        <v>0</v>
      </c>
      <c r="BV21">
        <v>0</v>
      </c>
      <c r="BX21">
        <v>0</v>
      </c>
      <c r="BZ21">
        <v>0</v>
      </c>
      <c r="CB21">
        <v>0</v>
      </c>
      <c r="CD21">
        <v>0</v>
      </c>
      <c r="CF21">
        <v>0</v>
      </c>
      <c r="CH21">
        <v>0</v>
      </c>
      <c r="CJ21">
        <v>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V21">
        <v>0</v>
      </c>
      <c r="CX21">
        <v>0</v>
      </c>
      <c r="CZ21">
        <v>0</v>
      </c>
      <c r="DB21">
        <v>0</v>
      </c>
      <c r="DD21">
        <v>0</v>
      </c>
      <c r="DF21">
        <v>0</v>
      </c>
      <c r="DH21">
        <v>0</v>
      </c>
      <c r="DJ21">
        <v>0</v>
      </c>
      <c r="DL21">
        <v>0</v>
      </c>
      <c r="DN21">
        <v>0</v>
      </c>
      <c r="DP21">
        <v>0</v>
      </c>
      <c r="DR21">
        <v>0</v>
      </c>
      <c r="DT21">
        <v>0</v>
      </c>
      <c r="DV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J21">
        <v>0</v>
      </c>
      <c r="EL21">
        <v>0</v>
      </c>
      <c r="EN21">
        <v>0</v>
      </c>
      <c r="EP21">
        <v>0</v>
      </c>
      <c r="ER21">
        <v>0</v>
      </c>
      <c r="ET21">
        <v>0</v>
      </c>
      <c r="EV21">
        <v>0</v>
      </c>
      <c r="EX21">
        <v>0</v>
      </c>
      <c r="EZ21">
        <v>0</v>
      </c>
      <c r="FB21">
        <v>0</v>
      </c>
      <c r="FD21">
        <v>0</v>
      </c>
      <c r="FF21">
        <v>0</v>
      </c>
      <c r="FH21">
        <v>0</v>
      </c>
      <c r="FJ21">
        <v>0</v>
      </c>
      <c r="FM21">
        <v>95</v>
      </c>
      <c r="FN21">
        <v>5</v>
      </c>
      <c r="FO21">
        <v>0</v>
      </c>
      <c r="FP21">
        <v>0</v>
      </c>
      <c r="FQ21">
        <v>0.5</v>
      </c>
      <c r="FR21">
        <v>99.5</v>
      </c>
      <c r="FS21">
        <v>0</v>
      </c>
      <c r="FT21">
        <v>0</v>
      </c>
    </row>
    <row r="22" customFormat="1" spans="1:176">
      <c r="A22" s="18" t="s">
        <v>229</v>
      </c>
      <c r="B22" t="s">
        <v>230</v>
      </c>
      <c r="C22">
        <v>100</v>
      </c>
      <c r="D22">
        <v>2.1</v>
      </c>
      <c r="E22">
        <v>2.7</v>
      </c>
      <c r="F22">
        <v>50</v>
      </c>
      <c r="G22">
        <v>0.4</v>
      </c>
      <c r="H22">
        <v>0.55125</v>
      </c>
      <c r="I22">
        <v>100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</v>
      </c>
      <c r="S22" t="s">
        <v>196</v>
      </c>
      <c r="T22">
        <v>0</v>
      </c>
      <c r="V22">
        <v>0</v>
      </c>
      <c r="X22">
        <v>0</v>
      </c>
      <c r="Z22">
        <v>0</v>
      </c>
      <c r="AB22">
        <v>0</v>
      </c>
      <c r="AD22">
        <v>0</v>
      </c>
      <c r="AF22">
        <v>0</v>
      </c>
      <c r="AH22">
        <v>0</v>
      </c>
      <c r="AJ22">
        <v>0</v>
      </c>
      <c r="AL22">
        <v>0</v>
      </c>
      <c r="AN22">
        <v>0</v>
      </c>
      <c r="AP22">
        <v>0</v>
      </c>
      <c r="AR22">
        <v>0</v>
      </c>
      <c r="AT22">
        <v>0</v>
      </c>
      <c r="AV22">
        <v>3</v>
      </c>
      <c r="AW22">
        <v>0</v>
      </c>
      <c r="AX22">
        <v>0</v>
      </c>
      <c r="AY22">
        <v>100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</v>
      </c>
      <c r="BG22" t="s">
        <v>196</v>
      </c>
      <c r="BH22">
        <v>0</v>
      </c>
      <c r="BJ22">
        <v>0</v>
      </c>
      <c r="BL22">
        <v>0</v>
      </c>
      <c r="BN22">
        <v>0</v>
      </c>
      <c r="BP22">
        <v>0</v>
      </c>
      <c r="BR22">
        <v>0</v>
      </c>
      <c r="BT22">
        <v>0</v>
      </c>
      <c r="BV22">
        <v>0</v>
      </c>
      <c r="BX22">
        <v>0</v>
      </c>
      <c r="BZ22">
        <v>0</v>
      </c>
      <c r="CB22">
        <v>0</v>
      </c>
      <c r="CD22">
        <v>0</v>
      </c>
      <c r="CF22">
        <v>0</v>
      </c>
      <c r="CH22">
        <v>0</v>
      </c>
      <c r="CJ22">
        <v>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V22">
        <v>0</v>
      </c>
      <c r="CX22">
        <v>0</v>
      </c>
      <c r="CZ22">
        <v>0</v>
      </c>
      <c r="DB22">
        <v>0</v>
      </c>
      <c r="DD22">
        <v>0</v>
      </c>
      <c r="DF22">
        <v>0</v>
      </c>
      <c r="DH22">
        <v>0</v>
      </c>
      <c r="DJ22">
        <v>0</v>
      </c>
      <c r="DL22">
        <v>0</v>
      </c>
      <c r="DN22">
        <v>0</v>
      </c>
      <c r="DP22">
        <v>0</v>
      </c>
      <c r="DR22">
        <v>0</v>
      </c>
      <c r="DT22">
        <v>0</v>
      </c>
      <c r="DV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J22">
        <v>0</v>
      </c>
      <c r="EL22">
        <v>0</v>
      </c>
      <c r="EN22">
        <v>0</v>
      </c>
      <c r="EP22">
        <v>0</v>
      </c>
      <c r="ER22">
        <v>0</v>
      </c>
      <c r="ET22">
        <v>0</v>
      </c>
      <c r="EV22">
        <v>0</v>
      </c>
      <c r="EX22">
        <v>0</v>
      </c>
      <c r="EZ22">
        <v>0</v>
      </c>
      <c r="FB22">
        <v>0</v>
      </c>
      <c r="FD22">
        <v>0</v>
      </c>
      <c r="FF22">
        <v>0</v>
      </c>
      <c r="FH22">
        <v>0</v>
      </c>
      <c r="FJ22">
        <v>0</v>
      </c>
      <c r="FM22">
        <v>95</v>
      </c>
      <c r="FN22">
        <v>5</v>
      </c>
      <c r="FO22">
        <v>0</v>
      </c>
      <c r="FP22">
        <v>0</v>
      </c>
      <c r="FQ22">
        <v>0.5</v>
      </c>
      <c r="FR22">
        <v>99.5</v>
      </c>
      <c r="FS22">
        <v>0</v>
      </c>
      <c r="FT22">
        <v>0</v>
      </c>
    </row>
    <row r="23" spans="1:176">
      <c r="A23" s="18" t="s">
        <v>231</v>
      </c>
      <c r="B23" t="s">
        <v>232</v>
      </c>
      <c r="C23">
        <v>50</v>
      </c>
      <c r="D23">
        <v>2.1</v>
      </c>
      <c r="E23">
        <v>2.7</v>
      </c>
      <c r="F23">
        <v>30</v>
      </c>
      <c r="G23">
        <v>0.12</v>
      </c>
      <c r="H23" s="18" t="s">
        <v>233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>
        <v>0</v>
      </c>
      <c r="V23">
        <v>0</v>
      </c>
      <c r="X23">
        <v>0</v>
      </c>
      <c r="Z23">
        <v>0</v>
      </c>
      <c r="AB23">
        <v>0</v>
      </c>
      <c r="AD23">
        <v>20</v>
      </c>
      <c r="AE23" t="s">
        <v>206</v>
      </c>
      <c r="AF23">
        <v>0</v>
      </c>
      <c r="AH23">
        <v>0</v>
      </c>
      <c r="AJ23">
        <v>0</v>
      </c>
      <c r="AL23">
        <v>0</v>
      </c>
      <c r="AN23">
        <v>0</v>
      </c>
      <c r="AP23">
        <v>0</v>
      </c>
      <c r="AR23">
        <v>0</v>
      </c>
      <c r="AT23">
        <v>0</v>
      </c>
      <c r="AV23">
        <v>0</v>
      </c>
      <c r="AW23">
        <v>0</v>
      </c>
      <c r="AX23">
        <v>0</v>
      </c>
      <c r="AY23">
        <v>100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J23">
        <v>0</v>
      </c>
      <c r="BL23">
        <v>0</v>
      </c>
      <c r="BN23">
        <v>0</v>
      </c>
      <c r="BP23">
        <v>0</v>
      </c>
      <c r="BR23">
        <v>0</v>
      </c>
      <c r="BT23">
        <v>0</v>
      </c>
      <c r="BV23">
        <v>0</v>
      </c>
      <c r="BX23">
        <v>0</v>
      </c>
      <c r="BZ23">
        <v>0</v>
      </c>
      <c r="CB23">
        <v>0</v>
      </c>
      <c r="CD23">
        <v>0</v>
      </c>
      <c r="CF23">
        <v>0</v>
      </c>
      <c r="CH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V23">
        <v>0</v>
      </c>
      <c r="CX23">
        <v>0</v>
      </c>
      <c r="CZ23">
        <v>0</v>
      </c>
      <c r="DB23">
        <v>0</v>
      </c>
      <c r="DD23">
        <v>0</v>
      </c>
      <c r="DF23">
        <v>0</v>
      </c>
      <c r="DH23">
        <v>0</v>
      </c>
      <c r="DJ23">
        <v>0</v>
      </c>
      <c r="DL23">
        <v>0</v>
      </c>
      <c r="DN23">
        <v>0</v>
      </c>
      <c r="DP23">
        <v>0</v>
      </c>
      <c r="DR23">
        <v>0</v>
      </c>
      <c r="DT23">
        <v>0</v>
      </c>
      <c r="DV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J23">
        <v>0</v>
      </c>
      <c r="EL23">
        <v>0</v>
      </c>
      <c r="EN23">
        <v>0</v>
      </c>
      <c r="EP23">
        <v>0</v>
      </c>
      <c r="ER23">
        <v>0</v>
      </c>
      <c r="ET23">
        <v>0</v>
      </c>
      <c r="EV23">
        <v>0</v>
      </c>
      <c r="EX23">
        <v>0</v>
      </c>
      <c r="EZ23">
        <v>0</v>
      </c>
      <c r="FB23">
        <v>0</v>
      </c>
      <c r="FD23">
        <v>0</v>
      </c>
      <c r="FF23">
        <v>0</v>
      </c>
      <c r="FH23">
        <v>0</v>
      </c>
      <c r="FJ23">
        <v>0</v>
      </c>
      <c r="FL23">
        <v>0</v>
      </c>
      <c r="FM23">
        <v>10</v>
      </c>
      <c r="FN23">
        <v>90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</row>
    <row r="24" spans="1:176">
      <c r="A24" s="18" t="s">
        <v>234</v>
      </c>
      <c r="B24" t="s">
        <v>235</v>
      </c>
      <c r="C24">
        <v>50</v>
      </c>
      <c r="D24">
        <v>2.1</v>
      </c>
      <c r="E24">
        <v>5</v>
      </c>
      <c r="F24">
        <v>45</v>
      </c>
      <c r="G24">
        <v>0.12</v>
      </c>
      <c r="H24" s="18" t="s">
        <v>233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</v>
      </c>
      <c r="V24">
        <v>0</v>
      </c>
      <c r="X24">
        <v>0</v>
      </c>
      <c r="Z24">
        <v>0</v>
      </c>
      <c r="AB24">
        <v>0</v>
      </c>
      <c r="AD24">
        <v>20</v>
      </c>
      <c r="AE24" t="s">
        <v>206</v>
      </c>
      <c r="AF24">
        <v>0</v>
      </c>
      <c r="AH24">
        <v>0</v>
      </c>
      <c r="AJ24">
        <v>0</v>
      </c>
      <c r="AL24">
        <v>0</v>
      </c>
      <c r="AN24">
        <v>0</v>
      </c>
      <c r="AP24">
        <v>0</v>
      </c>
      <c r="AR24">
        <v>0</v>
      </c>
      <c r="AT24">
        <v>0</v>
      </c>
      <c r="AV24">
        <v>0</v>
      </c>
      <c r="AW24">
        <v>0</v>
      </c>
      <c r="AX24">
        <v>0</v>
      </c>
      <c r="AY24">
        <v>100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J24">
        <v>0</v>
      </c>
      <c r="BL24">
        <v>0</v>
      </c>
      <c r="BN24">
        <v>0</v>
      </c>
      <c r="BP24">
        <v>0</v>
      </c>
      <c r="BR24">
        <v>0</v>
      </c>
      <c r="BT24">
        <v>0</v>
      </c>
      <c r="BV24">
        <v>0</v>
      </c>
      <c r="BX24">
        <v>0</v>
      </c>
      <c r="BZ24">
        <v>0</v>
      </c>
      <c r="CB24">
        <v>0</v>
      </c>
      <c r="CD24">
        <v>0</v>
      </c>
      <c r="CF24">
        <v>0</v>
      </c>
      <c r="CH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V24">
        <v>0</v>
      </c>
      <c r="CX24">
        <v>0</v>
      </c>
      <c r="CZ24">
        <v>0</v>
      </c>
      <c r="DB24">
        <v>0</v>
      </c>
      <c r="DD24">
        <v>0</v>
      </c>
      <c r="DF24">
        <v>0</v>
      </c>
      <c r="DH24">
        <v>0</v>
      </c>
      <c r="DJ24">
        <v>0</v>
      </c>
      <c r="DL24">
        <v>0</v>
      </c>
      <c r="DN24">
        <v>0</v>
      </c>
      <c r="DP24">
        <v>0</v>
      </c>
      <c r="DR24">
        <v>0</v>
      </c>
      <c r="DT24">
        <v>0</v>
      </c>
      <c r="DV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J24">
        <v>0</v>
      </c>
      <c r="EL24">
        <v>0</v>
      </c>
      <c r="EN24">
        <v>0</v>
      </c>
      <c r="EP24">
        <v>0</v>
      </c>
      <c r="ER24">
        <v>0</v>
      </c>
      <c r="ET24">
        <v>0</v>
      </c>
      <c r="EV24">
        <v>0</v>
      </c>
      <c r="EX24">
        <v>0</v>
      </c>
      <c r="EZ24">
        <v>0</v>
      </c>
      <c r="FB24">
        <v>0</v>
      </c>
      <c r="FD24">
        <v>0</v>
      </c>
      <c r="FF24">
        <v>0</v>
      </c>
      <c r="FH24">
        <v>0</v>
      </c>
      <c r="FJ24">
        <v>0</v>
      </c>
      <c r="FL24">
        <v>0</v>
      </c>
      <c r="FM24">
        <v>10</v>
      </c>
      <c r="FN24">
        <v>90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</row>
    <row r="25" spans="1:176">
      <c r="A25" s="18" t="s">
        <v>236</v>
      </c>
      <c r="B25" t="s">
        <v>235</v>
      </c>
      <c r="C25">
        <v>50</v>
      </c>
      <c r="D25">
        <v>2.1</v>
      </c>
      <c r="E25">
        <v>5</v>
      </c>
      <c r="F25">
        <v>30</v>
      </c>
      <c r="G25">
        <v>0.12</v>
      </c>
      <c r="H25" s="18" t="s">
        <v>233</v>
      </c>
      <c r="I25">
        <v>100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V25">
        <v>0</v>
      </c>
      <c r="X25">
        <v>0</v>
      </c>
      <c r="Z25">
        <v>0</v>
      </c>
      <c r="AB25">
        <v>0</v>
      </c>
      <c r="AD25">
        <v>20</v>
      </c>
      <c r="AE25" t="s">
        <v>206</v>
      </c>
      <c r="AF25">
        <v>0</v>
      </c>
      <c r="AH25">
        <v>0</v>
      </c>
      <c r="AJ25">
        <v>0</v>
      </c>
      <c r="AL25">
        <v>0</v>
      </c>
      <c r="AN25">
        <v>0</v>
      </c>
      <c r="AP25">
        <v>0</v>
      </c>
      <c r="AR25">
        <v>0</v>
      </c>
      <c r="AT25">
        <v>0</v>
      </c>
      <c r="AV25">
        <v>0</v>
      </c>
      <c r="AW25">
        <v>0</v>
      </c>
      <c r="AX25">
        <v>0</v>
      </c>
      <c r="AY25">
        <v>100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J25">
        <v>0</v>
      </c>
      <c r="BL25">
        <v>0</v>
      </c>
      <c r="BN25">
        <v>0</v>
      </c>
      <c r="BP25">
        <v>0</v>
      </c>
      <c r="BR25">
        <v>0</v>
      </c>
      <c r="BT25">
        <v>0</v>
      </c>
      <c r="BV25">
        <v>0</v>
      </c>
      <c r="BX25">
        <v>0</v>
      </c>
      <c r="BZ25">
        <v>0</v>
      </c>
      <c r="CB25">
        <v>0</v>
      </c>
      <c r="CD25">
        <v>0</v>
      </c>
      <c r="CF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V25">
        <v>0</v>
      </c>
      <c r="CX25">
        <v>0</v>
      </c>
      <c r="CZ25">
        <v>0</v>
      </c>
      <c r="DB25">
        <v>0</v>
      </c>
      <c r="DD25">
        <v>0</v>
      </c>
      <c r="DF25">
        <v>0</v>
      </c>
      <c r="DH25">
        <v>0</v>
      </c>
      <c r="DJ25">
        <v>0</v>
      </c>
      <c r="DL25">
        <v>0</v>
      </c>
      <c r="DN25">
        <v>0</v>
      </c>
      <c r="DP25">
        <v>0</v>
      </c>
      <c r="DR25">
        <v>0</v>
      </c>
      <c r="DT25">
        <v>0</v>
      </c>
      <c r="DV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J25">
        <v>0</v>
      </c>
      <c r="EL25">
        <v>0</v>
      </c>
      <c r="EN25">
        <v>0</v>
      </c>
      <c r="EP25">
        <v>0</v>
      </c>
      <c r="ER25">
        <v>0</v>
      </c>
      <c r="ET25">
        <v>0</v>
      </c>
      <c r="EV25">
        <v>0</v>
      </c>
      <c r="EX25">
        <v>0</v>
      </c>
      <c r="EZ25">
        <v>0</v>
      </c>
      <c r="FB25">
        <v>0</v>
      </c>
      <c r="FD25">
        <v>0</v>
      </c>
      <c r="FF25">
        <v>0</v>
      </c>
      <c r="FH25">
        <v>0</v>
      </c>
      <c r="FJ25">
        <v>0</v>
      </c>
      <c r="FL25">
        <v>0</v>
      </c>
      <c r="FM25">
        <v>20</v>
      </c>
      <c r="FN25">
        <v>80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</row>
    <row r="26" spans="1:176">
      <c r="A26" s="18" t="s">
        <v>237</v>
      </c>
      <c r="B26" t="s">
        <v>235</v>
      </c>
      <c r="C26">
        <v>50</v>
      </c>
      <c r="D26">
        <v>2.1</v>
      </c>
      <c r="E26">
        <v>5</v>
      </c>
      <c r="F26">
        <v>30</v>
      </c>
      <c r="G26">
        <v>0.12</v>
      </c>
      <c r="H26" s="18" t="s">
        <v>233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>
        <v>0</v>
      </c>
      <c r="V26">
        <v>0</v>
      </c>
      <c r="X26">
        <v>0</v>
      </c>
      <c r="Z26">
        <v>0</v>
      </c>
      <c r="AB26">
        <v>0</v>
      </c>
      <c r="AD26">
        <v>20</v>
      </c>
      <c r="AE26" t="s">
        <v>206</v>
      </c>
      <c r="AF26">
        <v>0</v>
      </c>
      <c r="AH26">
        <v>0</v>
      </c>
      <c r="AJ26">
        <v>0</v>
      </c>
      <c r="AL26">
        <v>0</v>
      </c>
      <c r="AN26">
        <v>0</v>
      </c>
      <c r="AP26">
        <v>0</v>
      </c>
      <c r="AR26">
        <v>0</v>
      </c>
      <c r="AT26">
        <v>0</v>
      </c>
      <c r="AV26">
        <v>0</v>
      </c>
      <c r="AW26">
        <v>0</v>
      </c>
      <c r="AX26">
        <v>0</v>
      </c>
      <c r="AY26">
        <v>100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J26">
        <v>0</v>
      </c>
      <c r="BL26">
        <v>0</v>
      </c>
      <c r="BN26">
        <v>0</v>
      </c>
      <c r="BP26">
        <v>0</v>
      </c>
      <c r="BR26">
        <v>0</v>
      </c>
      <c r="BT26">
        <v>0</v>
      </c>
      <c r="BV26">
        <v>0</v>
      </c>
      <c r="BX26">
        <v>0</v>
      </c>
      <c r="BZ26">
        <v>0</v>
      </c>
      <c r="CB26">
        <v>0</v>
      </c>
      <c r="CD26">
        <v>0</v>
      </c>
      <c r="CF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V26">
        <v>0</v>
      </c>
      <c r="CX26">
        <v>0</v>
      </c>
      <c r="CZ26">
        <v>0</v>
      </c>
      <c r="DB26">
        <v>0</v>
      </c>
      <c r="DD26">
        <v>0</v>
      </c>
      <c r="DF26">
        <v>0</v>
      </c>
      <c r="DH26">
        <v>0</v>
      </c>
      <c r="DJ26">
        <v>0</v>
      </c>
      <c r="DL26">
        <v>0</v>
      </c>
      <c r="DN26">
        <v>0</v>
      </c>
      <c r="DP26">
        <v>0</v>
      </c>
      <c r="DR26">
        <v>0</v>
      </c>
      <c r="DT26">
        <v>0</v>
      </c>
      <c r="DV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J26">
        <v>0</v>
      </c>
      <c r="EL26">
        <v>0</v>
      </c>
      <c r="EN26">
        <v>0</v>
      </c>
      <c r="EP26">
        <v>0</v>
      </c>
      <c r="ER26">
        <v>0</v>
      </c>
      <c r="ET26">
        <v>0</v>
      </c>
      <c r="EV26">
        <v>0</v>
      </c>
      <c r="EX26">
        <v>0</v>
      </c>
      <c r="EZ26">
        <v>0</v>
      </c>
      <c r="FB26">
        <v>0</v>
      </c>
      <c r="FD26">
        <v>0</v>
      </c>
      <c r="FF26">
        <v>0</v>
      </c>
      <c r="FH26">
        <v>0</v>
      </c>
      <c r="FJ26">
        <v>0</v>
      </c>
      <c r="FL26">
        <v>0</v>
      </c>
      <c r="FM26">
        <v>10</v>
      </c>
      <c r="FN26">
        <v>90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</row>
    <row r="27" spans="1:176">
      <c r="A27" s="18" t="s">
        <v>238</v>
      </c>
      <c r="B27" t="s">
        <v>235</v>
      </c>
      <c r="C27">
        <v>50</v>
      </c>
      <c r="D27">
        <v>2.1</v>
      </c>
      <c r="E27">
        <v>5</v>
      </c>
      <c r="F27">
        <v>30</v>
      </c>
      <c r="G27">
        <v>0.12</v>
      </c>
      <c r="H27" s="18" t="s">
        <v>233</v>
      </c>
      <c r="I27">
        <v>100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>
        <v>0</v>
      </c>
      <c r="V27">
        <v>0</v>
      </c>
      <c r="X27">
        <v>0</v>
      </c>
      <c r="Z27">
        <v>0</v>
      </c>
      <c r="AB27">
        <v>0</v>
      </c>
      <c r="AD27">
        <v>20</v>
      </c>
      <c r="AE27" t="s">
        <v>206</v>
      </c>
      <c r="AF27">
        <v>0</v>
      </c>
      <c r="AH27">
        <v>0</v>
      </c>
      <c r="AJ27">
        <v>10</v>
      </c>
      <c r="AK27" t="s">
        <v>206</v>
      </c>
      <c r="AL27">
        <v>0</v>
      </c>
      <c r="AN27">
        <v>0</v>
      </c>
      <c r="AP27">
        <v>0</v>
      </c>
      <c r="AR27">
        <v>0</v>
      </c>
      <c r="AT27">
        <v>0</v>
      </c>
      <c r="AV27">
        <v>0</v>
      </c>
      <c r="AW27">
        <v>0</v>
      </c>
      <c r="AX27">
        <v>0</v>
      </c>
      <c r="AY27">
        <v>100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J27">
        <v>0</v>
      </c>
      <c r="BL27">
        <v>0</v>
      </c>
      <c r="BN27">
        <v>0</v>
      </c>
      <c r="BP27">
        <v>0</v>
      </c>
      <c r="BR27">
        <v>0</v>
      </c>
      <c r="BT27">
        <v>0</v>
      </c>
      <c r="BV27">
        <v>0</v>
      </c>
      <c r="BX27">
        <v>0</v>
      </c>
      <c r="BZ27">
        <v>0</v>
      </c>
      <c r="CB27">
        <v>0</v>
      </c>
      <c r="CD27">
        <v>0</v>
      </c>
      <c r="CF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V27">
        <v>0</v>
      </c>
      <c r="CX27">
        <v>0</v>
      </c>
      <c r="CZ27">
        <v>0</v>
      </c>
      <c r="DB27">
        <v>0</v>
      </c>
      <c r="DD27">
        <v>0</v>
      </c>
      <c r="DF27">
        <v>0</v>
      </c>
      <c r="DH27">
        <v>0</v>
      </c>
      <c r="DJ27">
        <v>0</v>
      </c>
      <c r="DL27">
        <v>0</v>
      </c>
      <c r="DN27">
        <v>0</v>
      </c>
      <c r="DP27">
        <v>0</v>
      </c>
      <c r="DR27">
        <v>0</v>
      </c>
      <c r="DT27">
        <v>0</v>
      </c>
      <c r="DV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J27">
        <v>0</v>
      </c>
      <c r="EL27">
        <v>0</v>
      </c>
      <c r="EN27">
        <v>0</v>
      </c>
      <c r="EP27">
        <v>0</v>
      </c>
      <c r="ER27">
        <v>0</v>
      </c>
      <c r="ET27">
        <v>0</v>
      </c>
      <c r="EV27">
        <v>0</v>
      </c>
      <c r="EX27">
        <v>0</v>
      </c>
      <c r="EZ27">
        <v>0</v>
      </c>
      <c r="FB27">
        <v>0</v>
      </c>
      <c r="FD27">
        <v>0</v>
      </c>
      <c r="FF27">
        <v>0</v>
      </c>
      <c r="FH27">
        <v>0</v>
      </c>
      <c r="FJ27">
        <v>0</v>
      </c>
      <c r="FL27">
        <v>0</v>
      </c>
      <c r="FM27">
        <v>10</v>
      </c>
      <c r="FN27">
        <v>90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</row>
    <row r="28" spans="1:176">
      <c r="A28" s="18" t="s">
        <v>239</v>
      </c>
      <c r="B28" t="s">
        <v>235</v>
      </c>
      <c r="C28">
        <v>50</v>
      </c>
      <c r="D28">
        <v>2.1</v>
      </c>
      <c r="E28">
        <v>5</v>
      </c>
      <c r="F28">
        <v>30</v>
      </c>
      <c r="G28">
        <v>0.12</v>
      </c>
      <c r="H28" s="18" t="s">
        <v>233</v>
      </c>
      <c r="I28">
        <v>100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  <c r="V28">
        <v>0</v>
      </c>
      <c r="X28">
        <v>0</v>
      </c>
      <c r="Z28">
        <v>0</v>
      </c>
      <c r="AB28">
        <v>0</v>
      </c>
      <c r="AD28">
        <v>20</v>
      </c>
      <c r="AE28" t="s">
        <v>206</v>
      </c>
      <c r="AF28">
        <v>0</v>
      </c>
      <c r="AH28">
        <v>0</v>
      </c>
      <c r="AJ28">
        <v>10</v>
      </c>
      <c r="AK28" t="s">
        <v>206</v>
      </c>
      <c r="AL28">
        <v>0</v>
      </c>
      <c r="AN28">
        <v>0</v>
      </c>
      <c r="AP28">
        <v>0</v>
      </c>
      <c r="AR28">
        <v>0</v>
      </c>
      <c r="AT28">
        <v>5</v>
      </c>
      <c r="AU28" t="s">
        <v>240</v>
      </c>
      <c r="AV28">
        <v>0</v>
      </c>
      <c r="AW28">
        <v>0</v>
      </c>
      <c r="AX28">
        <v>0</v>
      </c>
      <c r="AY28">
        <v>100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J28">
        <v>0</v>
      </c>
      <c r="BL28">
        <v>0</v>
      </c>
      <c r="BN28">
        <v>0</v>
      </c>
      <c r="BP28">
        <v>0</v>
      </c>
      <c r="BR28">
        <v>0</v>
      </c>
      <c r="BT28">
        <v>0</v>
      </c>
      <c r="BV28">
        <v>0</v>
      </c>
      <c r="BX28">
        <v>0</v>
      </c>
      <c r="BZ28">
        <v>0</v>
      </c>
      <c r="CB28">
        <v>0</v>
      </c>
      <c r="CD28">
        <v>0</v>
      </c>
      <c r="CF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V28">
        <v>0</v>
      </c>
      <c r="CX28">
        <v>0</v>
      </c>
      <c r="CZ28">
        <v>0</v>
      </c>
      <c r="DB28">
        <v>0</v>
      </c>
      <c r="DD28">
        <v>0</v>
      </c>
      <c r="DF28">
        <v>0</v>
      </c>
      <c r="DH28">
        <v>0</v>
      </c>
      <c r="DJ28">
        <v>0</v>
      </c>
      <c r="DL28">
        <v>0</v>
      </c>
      <c r="DN28">
        <v>0</v>
      </c>
      <c r="DP28">
        <v>0</v>
      </c>
      <c r="DR28">
        <v>0</v>
      </c>
      <c r="DT28">
        <v>0</v>
      </c>
      <c r="DV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J28">
        <v>0</v>
      </c>
      <c r="EL28">
        <v>0</v>
      </c>
      <c r="EN28">
        <v>0</v>
      </c>
      <c r="EP28">
        <v>0</v>
      </c>
      <c r="ER28">
        <v>0</v>
      </c>
      <c r="ET28">
        <v>0</v>
      </c>
      <c r="EV28">
        <v>0</v>
      </c>
      <c r="EX28">
        <v>0</v>
      </c>
      <c r="EZ28">
        <v>0</v>
      </c>
      <c r="FB28">
        <v>0</v>
      </c>
      <c r="FD28">
        <v>0</v>
      </c>
      <c r="FF28">
        <v>0</v>
      </c>
      <c r="FH28">
        <v>0</v>
      </c>
      <c r="FJ28">
        <v>0</v>
      </c>
      <c r="FL28">
        <v>0</v>
      </c>
      <c r="FM28">
        <v>10</v>
      </c>
      <c r="FN28">
        <v>90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</row>
    <row r="29" spans="1:176">
      <c r="A29" s="18" t="s">
        <v>241</v>
      </c>
      <c r="B29" t="s">
        <v>235</v>
      </c>
      <c r="C29">
        <v>50</v>
      </c>
      <c r="D29">
        <v>2.1</v>
      </c>
      <c r="E29">
        <v>5</v>
      </c>
      <c r="F29">
        <v>30</v>
      </c>
      <c r="G29">
        <v>0.12</v>
      </c>
      <c r="H29" s="18" t="s">
        <v>233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0</v>
      </c>
      <c r="V29">
        <v>0</v>
      </c>
      <c r="X29">
        <v>0</v>
      </c>
      <c r="Z29">
        <v>0</v>
      </c>
      <c r="AB29">
        <v>0</v>
      </c>
      <c r="AD29">
        <v>20</v>
      </c>
      <c r="AE29" t="s">
        <v>206</v>
      </c>
      <c r="AF29">
        <v>0</v>
      </c>
      <c r="AH29">
        <v>0</v>
      </c>
      <c r="AJ29">
        <v>0</v>
      </c>
      <c r="AL29">
        <v>0</v>
      </c>
      <c r="AN29">
        <v>0</v>
      </c>
      <c r="AP29">
        <v>0</v>
      </c>
      <c r="AR29">
        <v>0</v>
      </c>
      <c r="AT29">
        <v>0</v>
      </c>
      <c r="AV29">
        <v>0</v>
      </c>
      <c r="AW29">
        <v>0</v>
      </c>
      <c r="AX29">
        <v>0</v>
      </c>
      <c r="AY29">
        <v>100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J29">
        <v>0</v>
      </c>
      <c r="BL29">
        <v>0</v>
      </c>
      <c r="BN29">
        <v>0</v>
      </c>
      <c r="BP29">
        <v>0</v>
      </c>
      <c r="BR29">
        <v>0</v>
      </c>
      <c r="BT29">
        <v>0</v>
      </c>
      <c r="BV29">
        <v>0</v>
      </c>
      <c r="BX29">
        <v>0</v>
      </c>
      <c r="BZ29">
        <v>0</v>
      </c>
      <c r="CB29">
        <v>0</v>
      </c>
      <c r="CD29">
        <v>0</v>
      </c>
      <c r="CF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V29">
        <v>0</v>
      </c>
      <c r="CX29">
        <v>0</v>
      </c>
      <c r="CZ29">
        <v>0</v>
      </c>
      <c r="DB29">
        <v>0</v>
      </c>
      <c r="DD29">
        <v>0</v>
      </c>
      <c r="DF29">
        <v>0</v>
      </c>
      <c r="DH29">
        <v>0</v>
      </c>
      <c r="DJ29">
        <v>0</v>
      </c>
      <c r="DL29">
        <v>0</v>
      </c>
      <c r="DN29">
        <v>0</v>
      </c>
      <c r="DP29">
        <v>0</v>
      </c>
      <c r="DR29">
        <v>0</v>
      </c>
      <c r="DT29">
        <v>0</v>
      </c>
      <c r="DV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J29">
        <v>0</v>
      </c>
      <c r="EL29">
        <v>0</v>
      </c>
      <c r="EN29">
        <v>0</v>
      </c>
      <c r="EP29">
        <v>0</v>
      </c>
      <c r="ER29">
        <v>0</v>
      </c>
      <c r="ET29">
        <v>0</v>
      </c>
      <c r="EV29">
        <v>0</v>
      </c>
      <c r="EX29">
        <v>0</v>
      </c>
      <c r="EZ29">
        <v>0</v>
      </c>
      <c r="FB29">
        <v>0</v>
      </c>
      <c r="FD29">
        <v>0</v>
      </c>
      <c r="FF29">
        <v>0</v>
      </c>
      <c r="FH29">
        <v>0</v>
      </c>
      <c r="FJ29">
        <v>0</v>
      </c>
      <c r="FL29">
        <v>0</v>
      </c>
      <c r="FM29">
        <v>10</v>
      </c>
      <c r="FN29">
        <v>90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"/>
  <sheetViews>
    <sheetView zoomScale="160" zoomScaleNormal="160" workbookViewId="0">
      <selection activeCell="AW14" sqref="AW14"/>
    </sheetView>
  </sheetViews>
  <sheetFormatPr defaultColWidth="8.875" defaultRowHeight="13.5"/>
  <cols>
    <col min="1" max="1" width="8.625" style="4" customWidth="1"/>
    <col min="2" max="2" width="9.625" style="4" customWidth="1"/>
    <col min="3" max="3" width="15.5" style="4" customWidth="1"/>
    <col min="4" max="23" width="7.625" style="4" customWidth="1"/>
    <col min="24" max="24" width="8.5" style="4" customWidth="1"/>
    <col min="25" max="25" width="8.75" style="4" customWidth="1"/>
    <col min="26" max="35" width="7.625" style="4" customWidth="1"/>
    <col min="36" max="36" width="9" style="4" customWidth="1"/>
    <col min="37" max="37" width="8.875" style="4" customWidth="1"/>
    <col min="38" max="43" width="7.625" style="4" customWidth="1"/>
    <col min="44" max="44" width="9.125" style="4" customWidth="1"/>
    <col min="45" max="45" width="8.75" style="4" customWidth="1"/>
    <col min="46" max="47" width="7.625" style="4" customWidth="1"/>
    <col min="48" max="48" width="9.25" style="4" customWidth="1"/>
    <col min="49" max="49" width="8.875" style="4" customWidth="1"/>
    <col min="50" max="50" width="7.625" style="4" customWidth="1"/>
    <col min="51" max="16384" width="8.875" style="4"/>
  </cols>
  <sheetData>
    <row r="1" spans="1:51">
      <c r="A1" s="4" t="s">
        <v>242</v>
      </c>
      <c r="B1" s="4" t="s">
        <v>243</v>
      </c>
      <c r="C1" s="4" t="s">
        <v>244</v>
      </c>
      <c r="D1" s="4" t="s">
        <v>245</v>
      </c>
      <c r="H1" s="4" t="s">
        <v>246</v>
      </c>
      <c r="L1" s="4" t="s">
        <v>247</v>
      </c>
      <c r="P1" s="4" t="s">
        <v>248</v>
      </c>
      <c r="T1" s="4" t="s">
        <v>249</v>
      </c>
      <c r="X1" s="4" t="s">
        <v>250</v>
      </c>
      <c r="AB1" s="4" t="s">
        <v>251</v>
      </c>
      <c r="AF1" s="4" t="s">
        <v>252</v>
      </c>
      <c r="AJ1" s="4" t="s">
        <v>253</v>
      </c>
      <c r="AN1" s="4" t="s">
        <v>254</v>
      </c>
      <c r="AR1" s="4" t="s">
        <v>255</v>
      </c>
      <c r="AV1" s="4" t="s">
        <v>256</v>
      </c>
    </row>
    <row r="2" spans="1:51">
      <c r="D2" s="5" t="s">
        <v>257</v>
      </c>
      <c r="E2" s="5" t="s">
        <v>258</v>
      </c>
      <c r="F2" s="5" t="s">
        <v>259</v>
      </c>
      <c r="G2" s="5" t="s">
        <v>260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257</v>
      </c>
      <c r="M2" s="5" t="s">
        <v>258</v>
      </c>
      <c r="N2" s="5" t="s">
        <v>259</v>
      </c>
      <c r="O2" s="5" t="s">
        <v>260</v>
      </c>
      <c r="P2" s="5" t="s">
        <v>257</v>
      </c>
      <c r="Q2" s="5" t="s">
        <v>258</v>
      </c>
      <c r="R2" s="5" t="s">
        <v>259</v>
      </c>
      <c r="S2" s="5" t="s">
        <v>260</v>
      </c>
      <c r="T2" s="5" t="s">
        <v>257</v>
      </c>
      <c r="U2" s="5" t="s">
        <v>258</v>
      </c>
      <c r="V2" s="5" t="s">
        <v>259</v>
      </c>
      <c r="W2" s="5" t="s">
        <v>260</v>
      </c>
      <c r="X2" s="5" t="s">
        <v>257</v>
      </c>
      <c r="Y2" s="5" t="s">
        <v>258</v>
      </c>
      <c r="Z2" s="5" t="s">
        <v>259</v>
      </c>
      <c r="AA2" s="5" t="s">
        <v>260</v>
      </c>
      <c r="AB2" s="5" t="s">
        <v>257</v>
      </c>
      <c r="AC2" s="5" t="s">
        <v>258</v>
      </c>
      <c r="AD2" s="5" t="s">
        <v>259</v>
      </c>
      <c r="AE2" s="5" t="s">
        <v>260</v>
      </c>
      <c r="AF2" s="5" t="s">
        <v>257</v>
      </c>
      <c r="AG2" s="5" t="s">
        <v>258</v>
      </c>
      <c r="AH2" s="5" t="s">
        <v>259</v>
      </c>
      <c r="AI2" s="5" t="s">
        <v>260</v>
      </c>
      <c r="AJ2" s="5" t="s">
        <v>257</v>
      </c>
      <c r="AK2" s="5" t="s">
        <v>258</v>
      </c>
      <c r="AL2" s="5" t="s">
        <v>259</v>
      </c>
      <c r="AM2" s="5" t="s">
        <v>260</v>
      </c>
      <c r="AN2" s="5" t="s">
        <v>257</v>
      </c>
      <c r="AO2" s="5" t="s">
        <v>258</v>
      </c>
      <c r="AP2" s="5" t="s">
        <v>259</v>
      </c>
      <c r="AQ2" s="5" t="s">
        <v>260</v>
      </c>
      <c r="AR2" s="5" t="s">
        <v>257</v>
      </c>
      <c r="AS2" s="5" t="s">
        <v>258</v>
      </c>
      <c r="AT2" s="5" t="s">
        <v>259</v>
      </c>
      <c r="AU2" s="5" t="s">
        <v>260</v>
      </c>
      <c r="AV2" s="5" t="s">
        <v>257</v>
      </c>
      <c r="AW2" s="5" t="s">
        <v>258</v>
      </c>
      <c r="AX2" s="5" t="s">
        <v>259</v>
      </c>
      <c r="AY2" s="5" t="s">
        <v>260</v>
      </c>
    </row>
    <row r="3" ht="14.25" spans="1:51">
      <c r="A3" s="19" t="s">
        <v>194</v>
      </c>
      <c r="B3" s="6">
        <v>364</v>
      </c>
      <c r="C3" s="6" t="s">
        <v>261</v>
      </c>
      <c r="D3" s="15">
        <v>58.3320573113996</v>
      </c>
      <c r="E3" s="13">
        <v>34.9582247424269</v>
      </c>
      <c r="F3" s="13">
        <v>0.220634997952459</v>
      </c>
      <c r="G3" s="13">
        <v>0.804537027388519</v>
      </c>
      <c r="H3" s="13">
        <v>97.453</v>
      </c>
      <c r="I3" s="13">
        <v>65.37</v>
      </c>
      <c r="J3" s="13">
        <v>0.267</v>
      </c>
      <c r="K3" s="13">
        <v>0.682</v>
      </c>
      <c r="L3" s="13">
        <v>82.1108818653641</v>
      </c>
      <c r="M3" s="13">
        <v>57.4500876206362</v>
      </c>
      <c r="N3" s="13">
        <v>0.317851270550101</v>
      </c>
      <c r="O3" s="13">
        <v>0.707942579029355</v>
      </c>
      <c r="P3" s="13">
        <v>61.6188318144431</v>
      </c>
      <c r="Q3" s="13">
        <v>36.7843242617936</v>
      </c>
      <c r="R3" s="13">
        <v>0.233743223105987</v>
      </c>
      <c r="S3" s="13">
        <v>0.80986619621627</v>
      </c>
      <c r="T3" s="13">
        <v>93.052</v>
      </c>
      <c r="U3" s="13">
        <v>67.655</v>
      </c>
      <c r="V3" s="13">
        <v>0.285</v>
      </c>
      <c r="W3" s="13">
        <v>0.722</v>
      </c>
      <c r="X3" s="13">
        <v>76.0602238086276</v>
      </c>
      <c r="Y3" s="13">
        <v>55.1721089647052</v>
      </c>
      <c r="Z3" s="13">
        <v>0.312472154809221</v>
      </c>
      <c r="AA3" s="13">
        <v>0.74033254487156</v>
      </c>
      <c r="AB3" s="13">
        <v>69.502563957477</v>
      </c>
      <c r="AC3" s="13">
        <v>43.0407982636348</v>
      </c>
      <c r="AD3" s="13">
        <v>0.239817128582332</v>
      </c>
      <c r="AE3" s="13">
        <v>0.790473731081246</v>
      </c>
      <c r="AF3" s="13">
        <v>91.061</v>
      </c>
      <c r="AG3" s="13">
        <v>52.446</v>
      </c>
      <c r="AH3" s="13">
        <v>0.264</v>
      </c>
      <c r="AI3" s="13">
        <v>0.662</v>
      </c>
      <c r="AJ3" s="13">
        <v>86.9719882366582</v>
      </c>
      <c r="AK3" s="13">
        <v>74.5079150489966</v>
      </c>
      <c r="AL3" s="13">
        <v>0.347576481575697</v>
      </c>
      <c r="AM3" s="13">
        <v>0.704337038022298</v>
      </c>
      <c r="AN3" s="13">
        <v>58.949577567091</v>
      </c>
      <c r="AO3" s="13">
        <v>45.7521777003106</v>
      </c>
      <c r="AP3" s="13">
        <v>0.200244333601471</v>
      </c>
      <c r="AQ3" s="13">
        <v>0.832477293087876</v>
      </c>
      <c r="AR3" s="13">
        <v>104.658</v>
      </c>
      <c r="AS3" s="13">
        <v>90.528</v>
      </c>
      <c r="AT3" s="13">
        <v>0.284</v>
      </c>
      <c r="AU3" s="13">
        <v>0.664</v>
      </c>
      <c r="AV3" s="13">
        <v>74.9376108910173</v>
      </c>
      <c r="AW3" s="13">
        <v>52.7941616629799</v>
      </c>
      <c r="AX3" s="13">
        <v>0.272733790024697</v>
      </c>
      <c r="AY3" s="13">
        <v>0.726422014666387</v>
      </c>
    </row>
    <row r="4" spans="1:51">
      <c r="A4" s="19" t="s">
        <v>199</v>
      </c>
      <c r="B4" s="6">
        <v>136</v>
      </c>
      <c r="C4" s="6" t="s">
        <v>262</v>
      </c>
      <c r="D4" s="13">
        <v>45.6903564823302</v>
      </c>
      <c r="E4" s="13">
        <v>29.5100325450721</v>
      </c>
      <c r="F4" s="13">
        <v>0.0854162342939819</v>
      </c>
      <c r="G4" s="13">
        <v>0.900870026028457</v>
      </c>
      <c r="H4" s="13">
        <v>68.798</v>
      </c>
      <c r="I4" s="13">
        <v>54.385</v>
      </c>
      <c r="J4" s="13">
        <v>0.139</v>
      </c>
      <c r="K4" s="13">
        <v>0.884</v>
      </c>
      <c r="L4" s="13">
        <v>43.2303868503315</v>
      </c>
      <c r="M4" s="13">
        <v>26.1509510370198</v>
      </c>
      <c r="N4" s="13">
        <v>0.090138723665913</v>
      </c>
      <c r="O4" s="13">
        <v>0.918575044970764</v>
      </c>
      <c r="P4" s="13">
        <v>48.0653253541392</v>
      </c>
      <c r="Q4" s="13">
        <v>30.867849771444</v>
      </c>
      <c r="R4" s="13">
        <v>0.0930769121186898</v>
      </c>
      <c r="S4" s="13">
        <v>0.893379122445383</v>
      </c>
      <c r="T4" s="13">
        <v>50.02</v>
      </c>
      <c r="U4" s="13">
        <v>32.245</v>
      </c>
      <c r="V4" s="13">
        <v>0.1</v>
      </c>
      <c r="W4" s="13">
        <v>0.937</v>
      </c>
      <c r="X4" s="13">
        <v>72.5337142611096</v>
      </c>
      <c r="Y4" s="13">
        <v>62.8669686969238</v>
      </c>
      <c r="Z4" s="13">
        <v>0.14766799144973</v>
      </c>
      <c r="AA4" s="13">
        <v>0.829751539459668</v>
      </c>
      <c r="AB4" s="13">
        <v>70.4195790380388</v>
      </c>
      <c r="AC4" s="13">
        <v>54.4474124900364</v>
      </c>
      <c r="AD4" s="13">
        <v>0.129240812603573</v>
      </c>
      <c r="AE4" s="13">
        <v>0.749929768887326</v>
      </c>
      <c r="AF4" s="13">
        <v>79.345</v>
      </c>
      <c r="AG4" s="13">
        <v>60.114</v>
      </c>
      <c r="AH4" s="13">
        <v>0.178</v>
      </c>
      <c r="AI4" s="13">
        <v>0.868</v>
      </c>
      <c r="AJ4" s="13">
        <v>110.547598354142</v>
      </c>
      <c r="AK4" s="13">
        <v>72.9440352568065</v>
      </c>
      <c r="AL4" s="13">
        <v>0.295003976371104</v>
      </c>
      <c r="AM4" s="13">
        <v>0.518527902690955</v>
      </c>
      <c r="AN4" s="13">
        <v>68.1615549399315</v>
      </c>
      <c r="AO4" s="13">
        <v>55.9383256362559</v>
      </c>
      <c r="AP4" s="13">
        <v>0.169496572391368</v>
      </c>
      <c r="AQ4" s="13">
        <v>0.81809742234406</v>
      </c>
      <c r="AR4" s="13">
        <v>67.534</v>
      </c>
      <c r="AS4" s="13">
        <v>55</v>
      </c>
      <c r="AT4" s="13">
        <v>0.156</v>
      </c>
      <c r="AU4" s="13">
        <v>0.906</v>
      </c>
      <c r="AV4" s="13">
        <v>98.4902069030681</v>
      </c>
      <c r="AW4" s="13">
        <v>80.28830654845</v>
      </c>
      <c r="AX4" s="13">
        <v>0.260881516305504</v>
      </c>
      <c r="AY4" s="13">
        <v>0.671295544688799</v>
      </c>
    </row>
    <row r="5" spans="1:51">
      <c r="A5" s="19" t="s">
        <v>201</v>
      </c>
      <c r="B5" s="6">
        <v>402</v>
      </c>
      <c r="C5" s="6" t="s">
        <v>263</v>
      </c>
      <c r="D5" s="13">
        <v>25.149968940576</v>
      </c>
      <c r="E5" s="13">
        <v>6.4451087063756</v>
      </c>
      <c r="F5" s="13">
        <v>0.131350833758464</v>
      </c>
      <c r="G5" s="13">
        <v>0.945839962287472</v>
      </c>
      <c r="H5" s="13">
        <v>32.093</v>
      </c>
      <c r="I5" s="13">
        <v>14.785</v>
      </c>
      <c r="J5" s="13">
        <v>0.21</v>
      </c>
      <c r="K5" s="13">
        <v>0.907</v>
      </c>
      <c r="L5" s="13">
        <v>98.4040065690071</v>
      </c>
      <c r="M5" s="13">
        <v>55.8311808927499</v>
      </c>
      <c r="N5" s="13">
        <v>0.551928894592085</v>
      </c>
      <c r="O5" s="13">
        <v>0.540870566751288</v>
      </c>
      <c r="P5" s="13">
        <v>36.4179745111426</v>
      </c>
      <c r="Q5" s="13">
        <v>10.3083604724339</v>
      </c>
      <c r="R5" s="13">
        <v>0.161874104082849</v>
      </c>
      <c r="S5" s="13">
        <v>0.888081805229692</v>
      </c>
      <c r="T5" s="13">
        <v>32.753</v>
      </c>
      <c r="U5" s="13">
        <v>17.281</v>
      </c>
      <c r="V5" s="13">
        <v>0.269</v>
      </c>
      <c r="W5" s="13">
        <v>0.912</v>
      </c>
      <c r="X5" s="13">
        <v>98.7843335409109</v>
      </c>
      <c r="Y5" s="13">
        <v>73.5217074969596</v>
      </c>
      <c r="Z5" s="13">
        <v>0.564914742296117</v>
      </c>
      <c r="AA5" s="13">
        <v>0.538387837689246</v>
      </c>
      <c r="AB5" s="13">
        <v>27.3945866406868</v>
      </c>
      <c r="AC5" s="13">
        <v>8.26416210882025</v>
      </c>
      <c r="AD5" s="13">
        <v>0.147256757133138</v>
      </c>
      <c r="AE5" s="13">
        <v>0.94028495354784</v>
      </c>
      <c r="AF5" s="13">
        <v>31.785</v>
      </c>
      <c r="AG5" s="13">
        <v>16.62</v>
      </c>
      <c r="AH5" s="13">
        <v>0.277</v>
      </c>
      <c r="AI5" s="13">
        <v>0.901</v>
      </c>
      <c r="AJ5" s="13">
        <v>94.4694789209862</v>
      </c>
      <c r="AK5" s="13">
        <v>40.7900482772563</v>
      </c>
      <c r="AL5" s="13">
        <v>0.511856320507701</v>
      </c>
      <c r="AM5" s="13">
        <v>0.536322240722301</v>
      </c>
      <c r="AN5" s="13">
        <v>33.4431553291159</v>
      </c>
      <c r="AO5" s="13">
        <v>8.8246481042343</v>
      </c>
      <c r="AP5" s="13">
        <v>0.166831419828663</v>
      </c>
      <c r="AQ5" s="13">
        <v>0.911758714930985</v>
      </c>
      <c r="AR5" s="13">
        <v>30.854</v>
      </c>
      <c r="AS5" s="13">
        <v>20.689</v>
      </c>
      <c r="AT5" s="13">
        <v>0.254</v>
      </c>
      <c r="AU5" s="13">
        <v>0.914</v>
      </c>
      <c r="AV5" s="13">
        <v>94.3928427644482</v>
      </c>
      <c r="AW5" s="13">
        <v>47.4312156730135</v>
      </c>
      <c r="AX5" s="13">
        <v>0.499576159480525</v>
      </c>
      <c r="AY5" s="13">
        <v>0.535515332138448</v>
      </c>
    </row>
    <row r="6" spans="1:51">
      <c r="A6" s="19" t="s">
        <v>203</v>
      </c>
      <c r="B6" s="6">
        <v>361</v>
      </c>
      <c r="C6" s="6" t="s">
        <v>264</v>
      </c>
      <c r="D6" s="13">
        <v>7.63366506408494</v>
      </c>
      <c r="E6" s="13">
        <v>2.31167699023766</v>
      </c>
      <c r="F6" s="13">
        <v>0.0594400645752787</v>
      </c>
      <c r="G6" s="13">
        <v>0.982989882569558</v>
      </c>
      <c r="H6" s="13">
        <v>37.644</v>
      </c>
      <c r="I6" s="13">
        <v>15.9</v>
      </c>
      <c r="J6" s="13">
        <v>0.229</v>
      </c>
      <c r="K6" s="13">
        <v>0.851</v>
      </c>
      <c r="L6" s="13">
        <v>48.7963601558025</v>
      </c>
      <c r="M6" s="13">
        <v>29.8458056558382</v>
      </c>
      <c r="N6" s="13">
        <v>0.4433979678614</v>
      </c>
      <c r="O6" s="13">
        <v>0.414882965460351</v>
      </c>
      <c r="P6" s="13">
        <v>13.2075678538446</v>
      </c>
      <c r="Q6" s="13">
        <v>2.46550002541873</v>
      </c>
      <c r="R6" s="13">
        <v>0.105037665025559</v>
      </c>
      <c r="S6" s="13">
        <v>0.945710971713086</v>
      </c>
      <c r="T6" s="13">
        <v>37.378</v>
      </c>
      <c r="U6" s="13">
        <v>13.483</v>
      </c>
      <c r="V6" s="13">
        <v>0.223</v>
      </c>
      <c r="W6" s="13">
        <v>0.846</v>
      </c>
      <c r="X6" s="13">
        <v>47.6721589882289</v>
      </c>
      <c r="Y6" s="13">
        <v>23.3914375721156</v>
      </c>
      <c r="Z6" s="13">
        <v>0.398986390656046</v>
      </c>
      <c r="AA6" s="13">
        <v>0.489730973833041</v>
      </c>
      <c r="AB6" s="13">
        <v>15.159308138962</v>
      </c>
      <c r="AC6" s="13">
        <v>3.8602967725516</v>
      </c>
      <c r="AD6" s="13">
        <v>0.120295377381174</v>
      </c>
      <c r="AE6" s="13">
        <v>0.932287263592062</v>
      </c>
      <c r="AF6" s="13">
        <v>39.633</v>
      </c>
      <c r="AG6" s="13">
        <v>16.539</v>
      </c>
      <c r="AH6" s="13">
        <v>0.232</v>
      </c>
      <c r="AI6" s="13">
        <v>0.812</v>
      </c>
      <c r="AJ6" s="13">
        <v>52.8330842143759</v>
      </c>
      <c r="AK6" s="13">
        <v>37.2959630506577</v>
      </c>
      <c r="AL6" s="13">
        <v>0.486184029030961</v>
      </c>
      <c r="AM6" s="13">
        <v>0.477051979696541</v>
      </c>
      <c r="AN6" s="13">
        <v>12.7385751377293</v>
      </c>
      <c r="AO6" s="13">
        <v>5.00093111676838</v>
      </c>
      <c r="AP6" s="13">
        <v>0.0948909939791987</v>
      </c>
      <c r="AQ6" s="13">
        <v>0.951299719732285</v>
      </c>
      <c r="AR6" s="13">
        <v>40.587</v>
      </c>
      <c r="AS6" s="13">
        <v>20.854</v>
      </c>
      <c r="AT6" s="13">
        <v>0.282</v>
      </c>
      <c r="AU6" s="13">
        <v>0.814</v>
      </c>
      <c r="AV6" s="13">
        <v>54.4834544518624</v>
      </c>
      <c r="AW6" s="13">
        <v>35.2933474582839</v>
      </c>
      <c r="AX6" s="13">
        <v>0.508112077514501</v>
      </c>
      <c r="AY6" s="13">
        <v>0.393834386019466</v>
      </c>
    </row>
    <row r="7" spans="1:51">
      <c r="A7" s="19" t="s">
        <v>212</v>
      </c>
      <c r="B7" s="6">
        <v>132</v>
      </c>
      <c r="C7" s="6" t="s">
        <v>265</v>
      </c>
      <c r="D7" s="13">
        <v>15.7806579958395</v>
      </c>
      <c r="E7" s="13">
        <v>6.2141357124791</v>
      </c>
      <c r="F7" s="13">
        <v>0.0753884208133097</v>
      </c>
      <c r="G7" s="13">
        <v>0.972490819655263</v>
      </c>
      <c r="H7" s="13">
        <v>42.046</v>
      </c>
      <c r="I7" s="13">
        <v>38.354</v>
      </c>
      <c r="J7" s="13">
        <v>0.331</v>
      </c>
      <c r="K7" s="13">
        <v>0.874</v>
      </c>
      <c r="L7" s="13">
        <v>79.1482145904771</v>
      </c>
      <c r="M7" s="13">
        <v>56.4586775001946</v>
      </c>
      <c r="N7" s="13">
        <v>0.527308051388222</v>
      </c>
      <c r="O7" s="13">
        <v>0.561034108789721</v>
      </c>
      <c r="P7" s="13">
        <v>24.8707736320832</v>
      </c>
      <c r="Q7" s="13">
        <v>17.1144021465878</v>
      </c>
      <c r="R7" s="13">
        <v>0.14988490129805</v>
      </c>
      <c r="S7" s="13">
        <v>0.948126471007225</v>
      </c>
      <c r="T7" s="13">
        <v>35.291</v>
      </c>
      <c r="U7" s="13">
        <v>26.439</v>
      </c>
      <c r="V7" s="13">
        <v>0.338</v>
      </c>
      <c r="W7" s="13">
        <v>0.926</v>
      </c>
      <c r="X7" s="13">
        <v>80.2374844614144</v>
      </c>
      <c r="Y7" s="13">
        <v>61.4993948905958</v>
      </c>
      <c r="Z7" s="13">
        <v>0.550544111127983</v>
      </c>
      <c r="AA7" s="13">
        <v>0.604678689887783</v>
      </c>
      <c r="AB7" s="13">
        <v>17.9512135258806</v>
      </c>
      <c r="AC7" s="13">
        <v>12.910778104129</v>
      </c>
      <c r="AD7" s="13">
        <v>0.0835412659006168</v>
      </c>
      <c r="AE7" s="13">
        <v>0.974564421849887</v>
      </c>
      <c r="AF7" s="13">
        <v>36.24</v>
      </c>
      <c r="AG7" s="13">
        <v>19.399</v>
      </c>
      <c r="AH7" s="13">
        <v>0.27</v>
      </c>
      <c r="AI7" s="13">
        <v>0.902</v>
      </c>
      <c r="AJ7" s="13">
        <v>77.4069577737782</v>
      </c>
      <c r="AK7" s="13">
        <v>41.8089164768955</v>
      </c>
      <c r="AL7" s="13">
        <v>0.415611545713384</v>
      </c>
      <c r="AM7" s="13">
        <v>0.553516420391397</v>
      </c>
      <c r="AN7" s="13">
        <v>24.1581507943146</v>
      </c>
      <c r="AO7" s="13">
        <v>16.5608296032005</v>
      </c>
      <c r="AP7" s="13">
        <v>0.128339236456063</v>
      </c>
      <c r="AQ7" s="13">
        <v>0.940742348949432</v>
      </c>
      <c r="AR7" s="13">
        <v>31.702</v>
      </c>
      <c r="AS7" s="13">
        <v>20.513</v>
      </c>
      <c r="AT7" s="13">
        <v>0.294</v>
      </c>
      <c r="AU7" s="13">
        <v>0.937</v>
      </c>
      <c r="AV7" s="13">
        <v>74.294157858368</v>
      </c>
      <c r="AW7" s="13">
        <v>50.2013179154492</v>
      </c>
      <c r="AX7" s="13">
        <v>0.453931215103166</v>
      </c>
      <c r="AY7" s="13">
        <v>0.595580465655959</v>
      </c>
    </row>
    <row r="8" spans="1:51">
      <c r="A8" s="19" t="s">
        <v>214</v>
      </c>
      <c r="B8" s="6">
        <v>135</v>
      </c>
      <c r="C8" s="6" t="s">
        <v>266</v>
      </c>
      <c r="D8" s="13">
        <v>10.3651717199949</v>
      </c>
      <c r="E8" s="13">
        <v>5.85824741060701</v>
      </c>
      <c r="F8" s="13">
        <v>0.0797127815471207</v>
      </c>
      <c r="G8" s="13">
        <v>0.991041903557291</v>
      </c>
      <c r="H8" s="13">
        <v>50.877</v>
      </c>
      <c r="I8" s="13">
        <v>47.039</v>
      </c>
      <c r="J8" s="13">
        <v>0.45</v>
      </c>
      <c r="K8" s="13">
        <v>0.833</v>
      </c>
      <c r="L8" s="13">
        <v>74.9917264996506</v>
      </c>
      <c r="M8" s="13">
        <v>40.8881653250166</v>
      </c>
      <c r="N8" s="13">
        <v>0.685572399959177</v>
      </c>
      <c r="O8" s="13">
        <v>0.486335629592086</v>
      </c>
      <c r="P8" s="13">
        <v>23.8099486586656</v>
      </c>
      <c r="Q8" s="13">
        <v>9.81825537831142</v>
      </c>
      <c r="R8" s="13">
        <v>0.156111484463616</v>
      </c>
      <c r="S8" s="13">
        <v>0.939571624630004</v>
      </c>
      <c r="T8" s="13">
        <v>38.343</v>
      </c>
      <c r="U8" s="13">
        <v>36.057</v>
      </c>
      <c r="V8" s="13">
        <v>0.4</v>
      </c>
      <c r="W8" s="13">
        <v>0.923</v>
      </c>
      <c r="X8" s="13">
        <v>71.7884902264016</v>
      </c>
      <c r="Y8" s="13">
        <v>57.5449999544746</v>
      </c>
      <c r="Z8" s="13">
        <v>0.641941660742599</v>
      </c>
      <c r="AA8" s="13">
        <v>0.485578249016669</v>
      </c>
      <c r="AB8" s="13">
        <v>13.2856365431199</v>
      </c>
      <c r="AC8" s="13">
        <v>5.08996298687745</v>
      </c>
      <c r="AD8" s="13">
        <v>0.0851491346502569</v>
      </c>
      <c r="AE8" s="13">
        <v>0.98449943943075</v>
      </c>
      <c r="AF8" s="13">
        <v>39.622</v>
      </c>
      <c r="AG8" s="13">
        <v>20.083</v>
      </c>
      <c r="AH8" s="13">
        <v>0.324</v>
      </c>
      <c r="AI8" s="13">
        <v>0.809</v>
      </c>
      <c r="AJ8" s="13">
        <v>68.8141321267149</v>
      </c>
      <c r="AK8" s="13">
        <v>27.2228645155532</v>
      </c>
      <c r="AL8" s="13">
        <v>0.721234015553891</v>
      </c>
      <c r="AM8" s="13">
        <v>0.514424305345349</v>
      </c>
      <c r="AN8" s="13">
        <v>21.9063448080537</v>
      </c>
      <c r="AO8" s="13">
        <v>13.8702552779476</v>
      </c>
      <c r="AP8" s="13">
        <v>0.155479672474728</v>
      </c>
      <c r="AQ8" s="13">
        <v>0.961264799152284</v>
      </c>
      <c r="AR8" s="13">
        <v>32.095</v>
      </c>
      <c r="AS8" s="13">
        <v>34.582</v>
      </c>
      <c r="AT8" s="13">
        <v>0.382</v>
      </c>
      <c r="AU8" s="13">
        <v>0.944</v>
      </c>
      <c r="AV8" s="13">
        <v>80.3003173773685</v>
      </c>
      <c r="AW8" s="13">
        <v>44.6391785578052</v>
      </c>
      <c r="AX8" s="13">
        <v>0.800973890732195</v>
      </c>
      <c r="AY8" s="13">
        <v>0.475188150962739</v>
      </c>
    </row>
    <row r="9" spans="1:51">
      <c r="A9" s="19" t="s">
        <v>215</v>
      </c>
      <c r="B9" s="6">
        <v>663</v>
      </c>
      <c r="C9" s="6" t="s">
        <v>267</v>
      </c>
      <c r="D9" s="13">
        <v>41.8585402917317</v>
      </c>
      <c r="E9" s="13">
        <v>21.392279840422</v>
      </c>
      <c r="F9" s="13">
        <v>0.103386277517092</v>
      </c>
      <c r="G9" s="13">
        <v>0.68285379164702</v>
      </c>
      <c r="H9" s="13">
        <v>38.703</v>
      </c>
      <c r="I9" s="13">
        <v>21.845</v>
      </c>
      <c r="J9" s="13">
        <v>0.116</v>
      </c>
      <c r="K9" s="13">
        <v>0.768</v>
      </c>
      <c r="L9" s="13">
        <v>69.4025496752473</v>
      </c>
      <c r="M9" s="13">
        <v>39.4705793049098</v>
      </c>
      <c r="N9" s="13">
        <v>0.256148251570301</v>
      </c>
      <c r="O9" s="13">
        <v>0.491789829491511</v>
      </c>
      <c r="P9" s="13">
        <v>41.3938208255501</v>
      </c>
      <c r="Q9" s="13">
        <v>16.6886297136848</v>
      </c>
      <c r="R9" s="13">
        <v>0.0992547752832111</v>
      </c>
      <c r="S9" s="13">
        <v>0.718552392202735</v>
      </c>
      <c r="T9" s="13">
        <v>45.313</v>
      </c>
      <c r="U9" s="13">
        <v>27.37</v>
      </c>
      <c r="V9" s="13">
        <v>0.131</v>
      </c>
      <c r="W9" s="13">
        <v>0.681</v>
      </c>
      <c r="X9" s="13">
        <v>65.5731360547377</v>
      </c>
      <c r="Y9" s="13">
        <v>33.2391424834436</v>
      </c>
      <c r="Z9" s="13">
        <v>0.257713279471084</v>
      </c>
      <c r="AA9" s="13">
        <v>0.477763962559832</v>
      </c>
      <c r="AB9" s="13">
        <v>44.18533380832</v>
      </c>
      <c r="AC9" s="13">
        <v>21.3453802352748</v>
      </c>
      <c r="AD9" s="13">
        <v>0.1067905015362</v>
      </c>
      <c r="AE9" s="13">
        <v>0.686541586405872</v>
      </c>
      <c r="AF9" s="13">
        <v>44.113</v>
      </c>
      <c r="AG9" s="13">
        <v>24.834</v>
      </c>
      <c r="AH9" s="13">
        <v>0.128</v>
      </c>
      <c r="AI9" s="13">
        <v>0.706</v>
      </c>
      <c r="AJ9" s="13">
        <v>68.1739710341801</v>
      </c>
      <c r="AK9" s="13">
        <v>37.4400929243619</v>
      </c>
      <c r="AL9" s="13">
        <v>0.253489754969949</v>
      </c>
      <c r="AM9" s="13">
        <v>0.505165963877668</v>
      </c>
      <c r="AN9" s="13">
        <v>43.2302766533568</v>
      </c>
      <c r="AO9" s="13">
        <v>22.9366886239189</v>
      </c>
      <c r="AP9" s="13">
        <v>0.108108387187704</v>
      </c>
      <c r="AQ9" s="13">
        <v>0.686532157179739</v>
      </c>
      <c r="AR9" s="13">
        <v>36.881</v>
      </c>
      <c r="AS9" s="13">
        <v>26.634</v>
      </c>
      <c r="AT9" s="13">
        <v>0.119</v>
      </c>
      <c r="AU9" s="13">
        <v>0.806</v>
      </c>
      <c r="AV9" s="13">
        <v>79.3823842430864</v>
      </c>
      <c r="AW9" s="13">
        <v>51.0896037476915</v>
      </c>
      <c r="AX9" s="13">
        <v>0.264740052651284</v>
      </c>
      <c r="AY9" s="13">
        <v>0.452664073418534</v>
      </c>
    </row>
    <row r="10" spans="1:51">
      <c r="A10" s="19" t="s">
        <v>217</v>
      </c>
      <c r="B10" s="6">
        <v>110</v>
      </c>
      <c r="C10" s="6" t="s">
        <v>268</v>
      </c>
      <c r="D10" s="13">
        <v>35.508535240028</v>
      </c>
      <c r="E10" s="13">
        <v>29.6205829508012</v>
      </c>
      <c r="F10" s="13">
        <v>0.0633673896926386</v>
      </c>
      <c r="G10" s="13">
        <v>0.90538451509636</v>
      </c>
      <c r="H10" s="13">
        <v>76.11</v>
      </c>
      <c r="I10" s="13">
        <v>61.159</v>
      </c>
      <c r="J10" s="13">
        <v>0.262</v>
      </c>
      <c r="K10" s="13">
        <v>0.292</v>
      </c>
      <c r="L10" s="13">
        <v>91.5328526751842</v>
      </c>
      <c r="M10" s="13">
        <v>79.6652992954385</v>
      </c>
      <c r="N10" s="13">
        <v>0.263655972486108</v>
      </c>
      <c r="O10" s="13">
        <v>0.470476862397269</v>
      </c>
      <c r="P10" s="13">
        <v>28.1856723560612</v>
      </c>
      <c r="Q10" s="13">
        <v>17.0252528661455</v>
      </c>
      <c r="R10" s="13">
        <v>0.0487855011510741</v>
      </c>
      <c r="S10" s="13">
        <v>0.92156320911284</v>
      </c>
      <c r="T10" s="13">
        <v>94.131</v>
      </c>
      <c r="U10" s="13">
        <v>75.593</v>
      </c>
      <c r="V10" s="13">
        <v>0.313</v>
      </c>
      <c r="W10" s="13">
        <v>0.093</v>
      </c>
      <c r="X10" s="13">
        <v>87.8732961883364</v>
      </c>
      <c r="Y10" s="13">
        <v>74.6859845945377</v>
      </c>
      <c r="Z10" s="13">
        <v>0.28986174562279</v>
      </c>
      <c r="AA10" s="13">
        <v>0.472016597969936</v>
      </c>
      <c r="AB10" s="13">
        <v>42.5741344961451</v>
      </c>
      <c r="AC10" s="13">
        <v>37.165564161069</v>
      </c>
      <c r="AD10" s="13">
        <v>0.0792474881288534</v>
      </c>
      <c r="AE10" s="13">
        <v>0.894428565598051</v>
      </c>
      <c r="AF10" s="13">
        <v>59.371</v>
      </c>
      <c r="AG10" s="13">
        <v>26.594</v>
      </c>
      <c r="AH10" s="13">
        <v>0.235</v>
      </c>
      <c r="AI10" s="13">
        <v>0.38</v>
      </c>
      <c r="AJ10" s="13">
        <v>106.426549479278</v>
      </c>
      <c r="AK10" s="13">
        <v>87.7095102360307</v>
      </c>
      <c r="AL10" s="13">
        <v>0.278653259989477</v>
      </c>
      <c r="AM10" s="13">
        <v>0.34236517805991</v>
      </c>
      <c r="AN10" s="13">
        <v>39.7911122237036</v>
      </c>
      <c r="AO10" s="13">
        <v>26.3722057483981</v>
      </c>
      <c r="AP10" s="13">
        <v>0.076457681493941</v>
      </c>
      <c r="AQ10" s="13">
        <v>0.886206016660334</v>
      </c>
      <c r="AR10" s="13">
        <v>95.78</v>
      </c>
      <c r="AS10" s="13">
        <v>87.867</v>
      </c>
      <c r="AT10" s="13">
        <v>0.289</v>
      </c>
      <c r="AU10" s="13">
        <v>0.228</v>
      </c>
      <c r="AV10" s="13">
        <v>114.479088256731</v>
      </c>
      <c r="AW10" s="13">
        <v>91.2501262402756</v>
      </c>
      <c r="AX10" s="13">
        <v>0.36854191516886</v>
      </c>
      <c r="AY10" s="13">
        <v>0.272272261439351</v>
      </c>
    </row>
    <row r="11" spans="1:51">
      <c r="A11" s="19" t="s">
        <v>218</v>
      </c>
      <c r="B11" s="6">
        <v>235</v>
      </c>
      <c r="C11" s="6" t="s">
        <v>269</v>
      </c>
      <c r="D11" s="13">
        <v>17.1685414223953</v>
      </c>
      <c r="E11" s="13">
        <v>10.7537663018738</v>
      </c>
      <c r="F11" s="13">
        <v>0.215708160770358</v>
      </c>
      <c r="G11" s="13">
        <v>0.931147810218163</v>
      </c>
      <c r="H11" s="13">
        <v>39.142</v>
      </c>
      <c r="I11" s="13">
        <v>40.771</v>
      </c>
      <c r="J11" s="13">
        <v>0.633</v>
      </c>
      <c r="K11" s="13">
        <v>0.788</v>
      </c>
      <c r="L11" s="13">
        <v>49.9634683085929</v>
      </c>
      <c r="M11" s="13">
        <v>36.5541503385683</v>
      </c>
      <c r="N11" s="13">
        <v>0.824663541436424</v>
      </c>
      <c r="O11" s="13">
        <v>0.528276386932726</v>
      </c>
      <c r="P11" s="13">
        <v>19.4682356674727</v>
      </c>
      <c r="Q11" s="13">
        <v>9.19850565540751</v>
      </c>
      <c r="R11" s="13">
        <v>0.18522915827657</v>
      </c>
      <c r="S11" s="13">
        <v>0.916174677539701</v>
      </c>
      <c r="T11" s="13">
        <v>36.767</v>
      </c>
      <c r="U11" s="13">
        <v>29.745</v>
      </c>
      <c r="V11" s="13">
        <v>0.444</v>
      </c>
      <c r="W11" s="13">
        <v>0.77</v>
      </c>
      <c r="X11" s="13">
        <v>44.4646728161417</v>
      </c>
      <c r="Y11" s="13">
        <v>27.4948879520133</v>
      </c>
      <c r="Z11" s="13">
        <v>0.760891446500429</v>
      </c>
      <c r="AA11" s="13">
        <v>0.601191142879423</v>
      </c>
      <c r="AB11" s="13">
        <v>25.5615039242606</v>
      </c>
      <c r="AC11" s="13">
        <v>17.663660219268</v>
      </c>
      <c r="AD11" s="13">
        <v>0.310795223926836</v>
      </c>
      <c r="AE11" s="13">
        <v>0.884208562713063</v>
      </c>
      <c r="AF11" s="13">
        <v>50.316</v>
      </c>
      <c r="AG11" s="13">
        <v>46.69</v>
      </c>
      <c r="AH11" s="13">
        <v>0.541</v>
      </c>
      <c r="AI11" s="13">
        <v>0.638</v>
      </c>
      <c r="AJ11" s="13">
        <v>51.256707227435</v>
      </c>
      <c r="AK11" s="13">
        <v>39.572181027703</v>
      </c>
      <c r="AL11" s="13">
        <v>0.812940370696272</v>
      </c>
      <c r="AM11" s="13">
        <v>0.531590156247733</v>
      </c>
      <c r="AN11" s="13">
        <v>22.4758704039914</v>
      </c>
      <c r="AO11" s="13">
        <v>14.1698743520871</v>
      </c>
      <c r="AP11" s="13">
        <v>0.292180524675199</v>
      </c>
      <c r="AQ11" s="13">
        <v>0.861756266833355</v>
      </c>
      <c r="AR11" s="13">
        <v>33.546</v>
      </c>
      <c r="AS11" s="13">
        <v>28.535</v>
      </c>
      <c r="AT11" s="13">
        <v>0.489</v>
      </c>
      <c r="AU11" s="13">
        <v>0.842</v>
      </c>
      <c r="AV11" s="13">
        <v>38.3422656772173</v>
      </c>
      <c r="AW11" s="13">
        <v>26.1198600122325</v>
      </c>
      <c r="AX11" s="13">
        <v>0.707556844784838</v>
      </c>
      <c r="AY11" s="13">
        <v>0.698190982961709</v>
      </c>
    </row>
    <row r="12" spans="1:51">
      <c r="A12" s="19" t="s">
        <v>224</v>
      </c>
      <c r="B12" s="6">
        <v>172</v>
      </c>
      <c r="C12" s="6" t="s">
        <v>270</v>
      </c>
      <c r="D12" s="13">
        <v>14.4275001482595</v>
      </c>
      <c r="E12" s="13">
        <v>8.29583232012237</v>
      </c>
      <c r="F12" s="13">
        <v>0.0664620843883976</v>
      </c>
      <c r="G12" s="13">
        <v>0.95551823402609</v>
      </c>
      <c r="H12" s="13">
        <v>27.971</v>
      </c>
      <c r="I12" s="13">
        <v>20.988</v>
      </c>
      <c r="J12" s="13">
        <v>0.193</v>
      </c>
      <c r="K12" s="13">
        <v>0.86</v>
      </c>
      <c r="L12" s="13">
        <v>39.8882391256815</v>
      </c>
      <c r="M12" s="13">
        <v>41.9054827219848</v>
      </c>
      <c r="N12" s="13">
        <v>0.330457929916915</v>
      </c>
      <c r="O12" s="13">
        <v>0.769165123800106</v>
      </c>
      <c r="P12" s="13">
        <v>16.6303512005371</v>
      </c>
      <c r="Q12" s="13">
        <v>9.90844517741333</v>
      </c>
      <c r="R12" s="13">
        <v>0.0901470632602053</v>
      </c>
      <c r="S12" s="13">
        <v>0.943378662906147</v>
      </c>
      <c r="T12" s="13">
        <v>25.193</v>
      </c>
      <c r="U12" s="13">
        <v>24.654</v>
      </c>
      <c r="V12" s="13">
        <v>0.245</v>
      </c>
      <c r="W12" s="13">
        <v>0.943</v>
      </c>
      <c r="X12" s="13">
        <v>40.7191306859498</v>
      </c>
      <c r="Y12" s="13">
        <v>33.2417283647114</v>
      </c>
      <c r="Z12" s="13">
        <v>0.341792847299204</v>
      </c>
      <c r="AA12" s="13">
        <v>0.751998427111065</v>
      </c>
      <c r="AB12" s="13">
        <v>15.8977002153481</v>
      </c>
      <c r="AC12" s="13">
        <v>13.9496416545983</v>
      </c>
      <c r="AD12" s="13">
        <v>0.0746926956078222</v>
      </c>
      <c r="AE12" s="13">
        <v>0.956051488910412</v>
      </c>
      <c r="AF12" s="13">
        <v>26.693</v>
      </c>
      <c r="AG12" s="13">
        <v>18.682</v>
      </c>
      <c r="AH12" s="13">
        <v>0.231</v>
      </c>
      <c r="AI12" s="13">
        <v>0.901</v>
      </c>
      <c r="AJ12" s="13">
        <v>39.9859686945986</v>
      </c>
      <c r="AK12" s="13">
        <v>43.4095934973954</v>
      </c>
      <c r="AL12" s="13">
        <v>0.363139535099602</v>
      </c>
      <c r="AM12" s="13">
        <v>0.745305455058905</v>
      </c>
      <c r="AN12" s="13">
        <v>16.7788322160816</v>
      </c>
      <c r="AO12" s="13">
        <v>7.8606404855937</v>
      </c>
      <c r="AP12" s="13">
        <v>0.0778014038664572</v>
      </c>
      <c r="AQ12" s="13">
        <v>0.934577580462189</v>
      </c>
      <c r="AR12" s="13">
        <v>33.38</v>
      </c>
      <c r="AS12" s="13">
        <v>20.626</v>
      </c>
      <c r="AT12" s="13">
        <v>0.328</v>
      </c>
      <c r="AU12" s="13">
        <v>0.838</v>
      </c>
      <c r="AV12" s="13">
        <v>44.1592820149983</v>
      </c>
      <c r="AW12" s="13">
        <v>43.8916826479568</v>
      </c>
      <c r="AX12" s="13">
        <v>0.380729276943994</v>
      </c>
      <c r="AY12" s="13">
        <v>0.666553412626216</v>
      </c>
    </row>
    <row r="13" spans="1:51">
      <c r="A13" s="19" t="s">
        <v>226</v>
      </c>
      <c r="B13" s="6">
        <v>373</v>
      </c>
      <c r="C13" s="6" t="s">
        <v>271</v>
      </c>
      <c r="D13" s="13">
        <v>12.0438741611429</v>
      </c>
      <c r="E13" s="13">
        <v>6.17725839020158</v>
      </c>
      <c r="F13" s="13">
        <v>0.063881546256216</v>
      </c>
      <c r="G13" s="13">
        <v>0.975556335290669</v>
      </c>
      <c r="H13" s="13">
        <v>29.055</v>
      </c>
      <c r="I13" s="13">
        <v>21.339</v>
      </c>
      <c r="J13" s="13">
        <v>0.249</v>
      </c>
      <c r="K13" s="13">
        <v>0.899</v>
      </c>
      <c r="L13" s="13">
        <v>24.2119880823119</v>
      </c>
      <c r="M13" s="13">
        <v>18.8556841649373</v>
      </c>
      <c r="N13" s="13">
        <v>0.309441061683675</v>
      </c>
      <c r="O13" s="13">
        <v>0.948269005437619</v>
      </c>
      <c r="P13" s="13">
        <v>13.5009636947078</v>
      </c>
      <c r="Q13" s="13">
        <v>7.43468713604276</v>
      </c>
      <c r="R13" s="13">
        <v>0.0725058204288799</v>
      </c>
      <c r="S13" s="13">
        <v>0.979743239812364</v>
      </c>
      <c r="T13" s="13">
        <v>30.537</v>
      </c>
      <c r="U13" s="13">
        <v>20.492</v>
      </c>
      <c r="V13" s="13">
        <v>0.323</v>
      </c>
      <c r="W13" s="13">
        <v>0.914</v>
      </c>
      <c r="X13" s="13">
        <v>24.0037438470725</v>
      </c>
      <c r="Y13" s="13">
        <v>15.6544359321437</v>
      </c>
      <c r="Z13" s="13">
        <v>0.312188416924674</v>
      </c>
      <c r="AA13" s="13">
        <v>0.948075677698183</v>
      </c>
      <c r="AB13" s="13">
        <v>15.2895402134721</v>
      </c>
      <c r="AC13" s="13">
        <v>10.005664158722</v>
      </c>
      <c r="AD13" s="13">
        <v>0.0802747150753071</v>
      </c>
      <c r="AE13" s="13">
        <v>0.974563166978589</v>
      </c>
      <c r="AF13" s="13">
        <v>32.035</v>
      </c>
      <c r="AG13" s="13">
        <v>19.235</v>
      </c>
      <c r="AH13" s="13">
        <v>0.312</v>
      </c>
      <c r="AI13" s="13">
        <v>0.883</v>
      </c>
      <c r="AJ13" s="13">
        <v>28.1487956512213</v>
      </c>
      <c r="AK13" s="13">
        <v>22.0275870040617</v>
      </c>
      <c r="AL13" s="13">
        <v>0.370031894327422</v>
      </c>
      <c r="AM13" s="13">
        <v>0.938795879313697</v>
      </c>
      <c r="AN13" s="13">
        <v>16.9228456827913</v>
      </c>
      <c r="AO13" s="13">
        <v>11.5747783034394</v>
      </c>
      <c r="AP13" s="13">
        <v>0.0979186302797239</v>
      </c>
      <c r="AQ13" s="13">
        <v>0.962865517526427</v>
      </c>
      <c r="AR13" s="13">
        <v>33.015</v>
      </c>
      <c r="AS13" s="13">
        <v>19.753</v>
      </c>
      <c r="AT13" s="13">
        <v>0.378</v>
      </c>
      <c r="AU13" s="13">
        <v>0.868</v>
      </c>
      <c r="AV13" s="13">
        <v>26.2067666807413</v>
      </c>
      <c r="AW13" s="13">
        <v>19.0595416672983</v>
      </c>
      <c r="AX13" s="13">
        <v>0.387372035002365</v>
      </c>
      <c r="AY13" s="13">
        <v>0.942945125578277</v>
      </c>
    </row>
    <row r="14" spans="1:51">
      <c r="A14" s="19" t="s">
        <v>227</v>
      </c>
      <c r="B14" s="6">
        <v>334</v>
      </c>
      <c r="C14" s="6" t="s">
        <v>272</v>
      </c>
      <c r="D14" s="13">
        <v>13.2291377769912</v>
      </c>
      <c r="E14" s="13">
        <v>7.57252740699328</v>
      </c>
      <c r="F14" s="13">
        <v>0.0806960321595212</v>
      </c>
      <c r="G14" s="13">
        <v>0.980542205824665</v>
      </c>
      <c r="H14" s="13">
        <v>20.397</v>
      </c>
      <c r="I14" s="13">
        <v>15.294</v>
      </c>
      <c r="J14" s="13">
        <v>0.18</v>
      </c>
      <c r="K14" s="13">
        <v>0.967</v>
      </c>
      <c r="L14" s="13">
        <v>25.5886570284894</v>
      </c>
      <c r="M14" s="13">
        <v>23.7179284830884</v>
      </c>
      <c r="N14" s="13">
        <v>0.324129624712408</v>
      </c>
      <c r="O14" s="13">
        <v>0.948641893527111</v>
      </c>
      <c r="P14" s="13">
        <v>12.866018972899</v>
      </c>
      <c r="Q14" s="13">
        <v>6.2377459599043</v>
      </c>
      <c r="R14" s="13">
        <v>0.0822538542608569</v>
      </c>
      <c r="S14" s="13">
        <v>0.98119945537951</v>
      </c>
      <c r="T14" s="13">
        <v>21.03</v>
      </c>
      <c r="U14" s="13">
        <v>15.568</v>
      </c>
      <c r="V14" s="13">
        <v>0.285</v>
      </c>
      <c r="W14" s="13">
        <v>0.964</v>
      </c>
      <c r="X14" s="13">
        <v>24.7515527570849</v>
      </c>
      <c r="Y14" s="13">
        <v>20.1651223183499</v>
      </c>
      <c r="Z14" s="13">
        <v>0.336483496202246</v>
      </c>
      <c r="AA14" s="13">
        <v>0.945232188873282</v>
      </c>
      <c r="AB14" s="13">
        <v>13.834154456877</v>
      </c>
      <c r="AC14" s="13">
        <v>10.5334687034023</v>
      </c>
      <c r="AD14" s="13">
        <v>0.085136511687456</v>
      </c>
      <c r="AE14" s="13">
        <v>0.980155248982552</v>
      </c>
      <c r="AF14" s="13">
        <v>19.648</v>
      </c>
      <c r="AG14" s="13">
        <v>12.66</v>
      </c>
      <c r="AH14" s="13">
        <v>0.26</v>
      </c>
      <c r="AI14" s="13">
        <v>0.966</v>
      </c>
      <c r="AJ14" s="13">
        <v>23.8581348858461</v>
      </c>
      <c r="AK14" s="13">
        <v>19.1980939332086</v>
      </c>
      <c r="AL14" s="13">
        <v>0.319106959946355</v>
      </c>
      <c r="AM14" s="13">
        <v>0.947672457833341</v>
      </c>
      <c r="AN14" s="13">
        <v>15.6837248597527</v>
      </c>
      <c r="AO14" s="13">
        <v>10.9125280354977</v>
      </c>
      <c r="AP14" s="13">
        <v>0.0985954183632545</v>
      </c>
      <c r="AQ14" s="13">
        <v>0.976626162451735</v>
      </c>
      <c r="AR14" s="13">
        <v>24.151</v>
      </c>
      <c r="AS14" s="13">
        <v>17.818</v>
      </c>
      <c r="AT14" s="13">
        <v>0.333</v>
      </c>
      <c r="AU14" s="13">
        <v>0.947</v>
      </c>
      <c r="AV14" s="13">
        <v>26.342065268279</v>
      </c>
      <c r="AW14" s="13">
        <v>19.2895173774667</v>
      </c>
      <c r="AX14" s="13">
        <v>0.375187615715867</v>
      </c>
      <c r="AY14" s="13">
        <v>0.923305041894023</v>
      </c>
    </row>
    <row r="15" spans="1:51">
      <c r="A15" s="19" t="s">
        <v>228</v>
      </c>
      <c r="B15" s="6">
        <v>345</v>
      </c>
      <c r="C15" s="6" t="s">
        <v>273</v>
      </c>
      <c r="D15" s="13">
        <v>6.42146213706579</v>
      </c>
      <c r="E15" s="13">
        <v>4.42792715336673</v>
      </c>
      <c r="F15" s="13">
        <v>0.0372808770736035</v>
      </c>
      <c r="G15" s="13">
        <v>0.996360768685376</v>
      </c>
      <c r="H15" s="13">
        <v>21.063</v>
      </c>
      <c r="I15" s="13">
        <v>14.23</v>
      </c>
      <c r="J15" s="13">
        <v>0.284</v>
      </c>
      <c r="K15" s="13">
        <v>0.948</v>
      </c>
      <c r="L15" s="13">
        <v>24.923249817939</v>
      </c>
      <c r="M15" s="13">
        <v>22.3217110077302</v>
      </c>
      <c r="N15" s="13">
        <v>0.356703349345454</v>
      </c>
      <c r="O15" s="13">
        <v>0.963106760058948</v>
      </c>
      <c r="P15" s="13">
        <v>10.1152798246016</v>
      </c>
      <c r="Q15" s="13">
        <v>5.33787330928908</v>
      </c>
      <c r="R15" s="13">
        <v>0.0661654084548764</v>
      </c>
      <c r="S15" s="13">
        <v>0.991409745261311</v>
      </c>
      <c r="T15" s="13">
        <v>28.074</v>
      </c>
      <c r="U15" s="13">
        <v>18.23</v>
      </c>
      <c r="V15" s="13">
        <v>0.377</v>
      </c>
      <c r="W15" s="13">
        <v>0.915</v>
      </c>
      <c r="X15" s="13">
        <v>22.0968514108473</v>
      </c>
      <c r="Y15" s="13">
        <v>15.2650940406488</v>
      </c>
      <c r="Z15" s="13">
        <v>0.32820524063654</v>
      </c>
      <c r="AA15" s="13">
        <v>0.963065803726198</v>
      </c>
      <c r="AB15" s="13">
        <v>7.48178143365788</v>
      </c>
      <c r="AC15" s="13">
        <v>4.63216680139225</v>
      </c>
      <c r="AD15" s="13">
        <v>0.06079460569614</v>
      </c>
      <c r="AE15" s="13">
        <v>0.994278577713993</v>
      </c>
      <c r="AF15" s="13">
        <v>34.122</v>
      </c>
      <c r="AG15" s="13">
        <v>15.559</v>
      </c>
      <c r="AH15" s="13">
        <v>0.488</v>
      </c>
      <c r="AI15" s="13">
        <v>0.867</v>
      </c>
      <c r="AJ15" s="13">
        <v>29.8985128033003</v>
      </c>
      <c r="AK15" s="13">
        <v>22.6084653243261</v>
      </c>
      <c r="AL15" s="13">
        <v>0.377375676241942</v>
      </c>
      <c r="AM15" s="13">
        <v>0.945878793660411</v>
      </c>
      <c r="AN15" s="13">
        <v>7.8144979327452</v>
      </c>
      <c r="AO15" s="13">
        <v>3.89372377592354</v>
      </c>
      <c r="AP15" s="13">
        <v>0.0440161596033194</v>
      </c>
      <c r="AQ15" s="13">
        <v>0.993855727034546</v>
      </c>
      <c r="AR15" s="13">
        <v>32.296</v>
      </c>
      <c r="AS15" s="13">
        <v>20.034</v>
      </c>
      <c r="AT15" s="13">
        <v>0.453</v>
      </c>
      <c r="AU15" s="13">
        <v>0.904</v>
      </c>
      <c r="AV15" s="13">
        <v>23.6365940852246</v>
      </c>
      <c r="AW15" s="13">
        <v>20.7498970911946</v>
      </c>
      <c r="AX15" s="13">
        <v>0.340226157636929</v>
      </c>
      <c r="AY15" s="13">
        <v>0.966412512306571</v>
      </c>
    </row>
    <row r="16" spans="1:51">
      <c r="A16" s="19" t="s">
        <v>229</v>
      </c>
      <c r="B16" s="6">
        <v>395</v>
      </c>
      <c r="C16" s="6" t="s">
        <v>274</v>
      </c>
      <c r="D16" s="13">
        <v>16.0506204168123</v>
      </c>
      <c r="E16" s="13">
        <v>4.16512102912373</v>
      </c>
      <c r="F16" s="13">
        <v>0.0949016348333338</v>
      </c>
      <c r="G16" s="13">
        <v>0.916715958042993</v>
      </c>
      <c r="H16" s="13">
        <v>22.429</v>
      </c>
      <c r="I16" s="13">
        <v>11.084</v>
      </c>
      <c r="J16" s="13">
        <v>0.157</v>
      </c>
      <c r="K16" s="13">
        <v>0.872</v>
      </c>
      <c r="L16" s="13">
        <v>26.1292446943469</v>
      </c>
      <c r="M16" s="13">
        <v>22.3364778835864</v>
      </c>
      <c r="N16" s="13">
        <v>0.291054320973596</v>
      </c>
      <c r="O16" s="13">
        <v>0.904183887531861</v>
      </c>
      <c r="P16" s="13">
        <v>13.3060980902572</v>
      </c>
      <c r="Q16" s="13">
        <v>5.93697995482973</v>
      </c>
      <c r="R16" s="13">
        <v>0.0897846725586071</v>
      </c>
      <c r="S16" s="13">
        <v>0.945520201997871</v>
      </c>
      <c r="T16" s="13">
        <v>23.971</v>
      </c>
      <c r="U16" s="13">
        <v>10.773</v>
      </c>
      <c r="V16" s="13">
        <v>0.177</v>
      </c>
      <c r="W16" s="13">
        <v>0.787</v>
      </c>
      <c r="X16" s="13">
        <v>24.493892440493</v>
      </c>
      <c r="Y16" s="13">
        <v>22.5008693334001</v>
      </c>
      <c r="Z16" s="13">
        <v>0.280683648999098</v>
      </c>
      <c r="AA16" s="13">
        <v>0.904738090000982</v>
      </c>
      <c r="AB16" s="13">
        <v>14.9263039740558</v>
      </c>
      <c r="AC16" s="13">
        <v>8.34796934691655</v>
      </c>
      <c r="AD16" s="13">
        <v>0.0832571824723794</v>
      </c>
      <c r="AE16" s="13">
        <v>0.935101186023167</v>
      </c>
      <c r="AF16" s="13">
        <v>24.958</v>
      </c>
      <c r="AG16" s="13">
        <v>12.148</v>
      </c>
      <c r="AH16" s="13">
        <v>0.218</v>
      </c>
      <c r="AI16" s="13">
        <v>0.72</v>
      </c>
      <c r="AJ16" s="13">
        <v>28.9459665020377</v>
      </c>
      <c r="AK16" s="13">
        <v>19.8597867028641</v>
      </c>
      <c r="AL16" s="13">
        <v>0.331658949598949</v>
      </c>
      <c r="AM16" s="13">
        <v>0.866961211662627</v>
      </c>
      <c r="AN16" s="13">
        <v>14.7915199983969</v>
      </c>
      <c r="AO16" s="13">
        <v>8.86838537404975</v>
      </c>
      <c r="AP16" s="13">
        <v>0.0895016313331553</v>
      </c>
      <c r="AQ16" s="13">
        <v>0.938171237555059</v>
      </c>
      <c r="AR16" s="13">
        <v>22.598</v>
      </c>
      <c r="AS16" s="13">
        <v>11.818</v>
      </c>
      <c r="AT16" s="13">
        <v>0.204</v>
      </c>
      <c r="AU16" s="13">
        <v>0.822</v>
      </c>
      <c r="AV16" s="13">
        <v>28.621861574598</v>
      </c>
      <c r="AW16" s="13">
        <v>21.8016664851335</v>
      </c>
      <c r="AX16" s="13">
        <v>0.315500173074262</v>
      </c>
      <c r="AY16" s="13">
        <v>0.862713537791109</v>
      </c>
    </row>
    <row r="17" s="9" customFormat="1" spans="1:51">
      <c r="A17" s="9" t="s">
        <v>275</v>
      </c>
      <c r="D17" s="13">
        <v>22.8328635077608</v>
      </c>
      <c r="E17" s="13">
        <v>12.6930515357216</v>
      </c>
      <c r="F17" s="13">
        <v>0.0984019525451269</v>
      </c>
      <c r="G17" s="13">
        <v>0.92441780287985</v>
      </c>
      <c r="H17" s="13">
        <v>43.127</v>
      </c>
      <c r="I17" s="13">
        <v>31.61</v>
      </c>
      <c r="J17" s="13">
        <v>0.264</v>
      </c>
      <c r="K17" s="13">
        <v>0.816</v>
      </c>
      <c r="L17" s="13">
        <v>55.594416138459</v>
      </c>
      <c r="M17" s="13">
        <v>39.3894415165499</v>
      </c>
      <c r="N17" s="13">
        <v>0.398032240010127</v>
      </c>
      <c r="O17" s="13">
        <v>0.689539331697908</v>
      </c>
      <c r="P17" s="13">
        <v>25.9612044611718</v>
      </c>
      <c r="Q17" s="13">
        <v>13.2233437020504</v>
      </c>
      <c r="R17" s="13">
        <v>0.116703895983502</v>
      </c>
      <c r="S17" s="13">
        <v>0.91587698396101</v>
      </c>
      <c r="T17" s="13">
        <v>42.275</v>
      </c>
      <c r="U17" s="13">
        <v>29.685</v>
      </c>
      <c r="V17" s="13">
        <v>0.279</v>
      </c>
      <c r="W17" s="13">
        <v>0.809</v>
      </c>
      <c r="X17" s="13">
        <v>55.7894772490969</v>
      </c>
      <c r="Y17" s="13">
        <v>41.1602773282159</v>
      </c>
      <c r="Z17" s="13">
        <v>0.394596226624126</v>
      </c>
      <c r="AA17" s="13">
        <v>0.696610123255491</v>
      </c>
      <c r="AB17" s="13">
        <v>28.1045243118787</v>
      </c>
      <c r="AC17" s="13">
        <v>17.9469232861923</v>
      </c>
      <c r="AD17" s="13">
        <v>0.120449242884434</v>
      </c>
      <c r="AE17" s="13">
        <v>0.905526282979629</v>
      </c>
      <c r="AF17" s="13">
        <v>43.496</v>
      </c>
      <c r="AG17" s="13">
        <v>25.829</v>
      </c>
      <c r="AH17" s="13">
        <v>0.283</v>
      </c>
      <c r="AI17" s="13">
        <v>0.787</v>
      </c>
      <c r="AJ17" s="13">
        <v>61.9812747074681</v>
      </c>
      <c r="AK17" s="13">
        <v>41.8853609482941</v>
      </c>
      <c r="AL17" s="13">
        <v>0.420275912115908</v>
      </c>
      <c r="AM17" s="13">
        <v>0.651993927327367</v>
      </c>
      <c r="AN17" s="13">
        <v>28.346145610504</v>
      </c>
      <c r="AO17" s="13">
        <v>18.0382851526875</v>
      </c>
      <c r="AP17" s="13">
        <v>0.128561576109589</v>
      </c>
      <c r="AQ17" s="13">
        <v>0.904016497421451</v>
      </c>
      <c r="AR17" s="13">
        <v>44.22</v>
      </c>
      <c r="AS17" s="13">
        <v>33.946</v>
      </c>
      <c r="AT17" s="13">
        <v>0.303</v>
      </c>
      <c r="AU17" s="13">
        <v>0.817</v>
      </c>
      <c r="AV17" s="13">
        <v>61.2906355747863</v>
      </c>
      <c r="AW17" s="13">
        <v>43.1356730775165</v>
      </c>
      <c r="AX17" s="13">
        <v>0.424004480009928</v>
      </c>
      <c r="AY17" s="13">
        <v>0.655920917296256</v>
      </c>
    </row>
    <row r="18" s="9" customFormat="1" spans="1:51">
      <c r="A18" s="9" t="s">
        <v>276</v>
      </c>
      <c r="D18" s="13">
        <v>16.1091702550425</v>
      </c>
      <c r="E18" s="13">
        <v>11.1254278303993</v>
      </c>
      <c r="F18" s="13">
        <v>0.0553856920043938</v>
      </c>
      <c r="G18" s="13">
        <v>0.0860650270800227</v>
      </c>
      <c r="H18" s="13">
        <v>22.881</v>
      </c>
      <c r="I18" s="13">
        <v>19.079</v>
      </c>
      <c r="J18" s="13">
        <v>0.136</v>
      </c>
      <c r="K18" s="13">
        <v>0.168</v>
      </c>
      <c r="L18" s="13">
        <v>26.4875156776737</v>
      </c>
      <c r="M18" s="13">
        <v>17.6337187596964</v>
      </c>
      <c r="N18" s="13">
        <v>0.191671225278511</v>
      </c>
      <c r="O18" s="13">
        <v>0.2116902191605</v>
      </c>
      <c r="P18" s="13">
        <v>15.5617842456268</v>
      </c>
      <c r="Q18" s="13">
        <v>9.87865275800267</v>
      </c>
      <c r="R18" s="13">
        <v>0.0524948641613892</v>
      </c>
      <c r="S18" s="13">
        <v>0.0732036916037111</v>
      </c>
      <c r="T18" s="13">
        <v>23.144</v>
      </c>
      <c r="U18" s="13">
        <v>19.269</v>
      </c>
      <c r="V18" s="13">
        <v>0.099</v>
      </c>
      <c r="W18" s="13">
        <v>0.225</v>
      </c>
      <c r="X18" s="13">
        <v>26.3528495945563</v>
      </c>
      <c r="Y18" s="13">
        <v>21.9420333473945</v>
      </c>
      <c r="Z18" s="13">
        <v>0.170172696418313</v>
      </c>
      <c r="AA18" s="13">
        <v>0.194210369249738</v>
      </c>
      <c r="AB18" s="13">
        <v>20.7279060862263</v>
      </c>
      <c r="AC18" s="13">
        <v>15.7608353399457</v>
      </c>
      <c r="AD18" s="13">
        <v>0.071071607134121</v>
      </c>
      <c r="AE18" s="13">
        <v>0.0962954672403286</v>
      </c>
      <c r="AF18" s="13">
        <v>20.532</v>
      </c>
      <c r="AG18" s="13">
        <v>15.509</v>
      </c>
      <c r="AH18" s="13">
        <v>0.111</v>
      </c>
      <c r="AI18" s="13">
        <v>0.154</v>
      </c>
      <c r="AJ18" s="13">
        <v>30.0489643956845</v>
      </c>
      <c r="AK18" s="13">
        <v>21.7665662153494</v>
      </c>
      <c r="AL18" s="13">
        <v>0.164570351431452</v>
      </c>
      <c r="AM18" s="13">
        <v>0.203063792352193</v>
      </c>
      <c r="AN18" s="13">
        <v>18.1178101217045</v>
      </c>
      <c r="AO18" s="13">
        <v>15.3612865561511</v>
      </c>
      <c r="AP18" s="13">
        <v>0.0639281361510922</v>
      </c>
      <c r="AQ18" s="13">
        <v>0.082149633137393</v>
      </c>
      <c r="AR18" s="13">
        <v>25.979</v>
      </c>
      <c r="AS18" s="13">
        <v>25.548</v>
      </c>
      <c r="AT18" s="13">
        <v>0.104</v>
      </c>
      <c r="AU18" s="13">
        <v>0.185</v>
      </c>
      <c r="AV18" s="13">
        <v>30.579519735766</v>
      </c>
      <c r="AW18" s="13">
        <v>22.1510189186398</v>
      </c>
      <c r="AX18" s="13">
        <v>0.161367137681647</v>
      </c>
      <c r="AY18" s="13">
        <v>0.216287517059464</v>
      </c>
    </row>
    <row r="19" spans="1:51">
      <c r="D19" s="16"/>
      <c r="E19" s="16"/>
      <c r="F19" s="16"/>
      <c r="G19" s="16"/>
    </row>
  </sheetData>
  <mergeCells count="17"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17:C17"/>
    <mergeCell ref="A18:C18"/>
    <mergeCell ref="A1:A2"/>
    <mergeCell ref="B1:B2"/>
    <mergeCell ref="C1:C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8"/>
  <sheetViews>
    <sheetView zoomScale="145" zoomScaleNormal="145" topLeftCell="N1" workbookViewId="0">
      <selection activeCell="T3" sqref="T3:W18"/>
    </sheetView>
  </sheetViews>
  <sheetFormatPr defaultColWidth="8.875" defaultRowHeight="13.5"/>
  <cols>
    <col min="1" max="1" width="8.625" customWidth="1"/>
    <col min="2" max="2" width="9.625" customWidth="1"/>
    <col min="3" max="3" width="15.5" customWidth="1"/>
    <col min="4" max="5" width="8.625" customWidth="1"/>
    <col min="6" max="7" width="7.625" customWidth="1"/>
    <col min="8" max="9" width="9.625" customWidth="1"/>
    <col min="10" max="10" width="7.625" customWidth="1"/>
    <col min="11" max="13" width="9.625" customWidth="1"/>
    <col min="14" max="15" width="7.625" customWidth="1"/>
    <col min="16" max="17" width="8.625" customWidth="1"/>
    <col min="18" max="19" width="7.625" customWidth="1"/>
    <col min="20" max="21" width="9.625" customWidth="1"/>
    <col min="22" max="22" width="7.625" customWidth="1"/>
    <col min="23" max="25" width="9.625" customWidth="1"/>
    <col min="26" max="27" width="7.625" customWidth="1"/>
    <col min="28" max="29" width="8.625" customWidth="1"/>
    <col min="30" max="31" width="7.625" customWidth="1"/>
    <col min="32" max="33" width="9.625" customWidth="1"/>
    <col min="34" max="34" width="7.625" customWidth="1"/>
    <col min="35" max="35" width="8.625" customWidth="1"/>
    <col min="36" max="37" width="9.625" customWidth="1"/>
    <col min="38" max="39" width="7.625" customWidth="1"/>
    <col min="40" max="40" width="9.625" customWidth="1"/>
    <col min="41" max="41" width="8.625" customWidth="1"/>
    <col min="42" max="42" width="7.625" customWidth="1"/>
    <col min="43" max="43" width="8.625" customWidth="1"/>
    <col min="44" max="45" width="9.625" customWidth="1"/>
    <col min="46" max="46" width="7.625" customWidth="1"/>
    <col min="47" max="47" width="8.625" customWidth="1"/>
    <col min="48" max="49" width="9.625" customWidth="1"/>
    <col min="50" max="51" width="7.625" customWidth="1"/>
  </cols>
  <sheetData>
    <row r="1" s="4" customFormat="1" ht="14.45" customHeight="1" spans="1:52">
      <c r="A1" s="4" t="s">
        <v>242</v>
      </c>
      <c r="B1" s="4" t="s">
        <v>243</v>
      </c>
      <c r="C1" s="4" t="s">
        <v>244</v>
      </c>
      <c r="D1" s="4" t="s">
        <v>245</v>
      </c>
      <c r="H1" s="4" t="s">
        <v>246</v>
      </c>
      <c r="L1" s="4" t="s">
        <v>247</v>
      </c>
      <c r="P1" s="4" t="s">
        <v>248</v>
      </c>
      <c r="T1" s="4" t="s">
        <v>249</v>
      </c>
      <c r="X1" s="4" t="s">
        <v>250</v>
      </c>
      <c r="AB1" s="4" t="s">
        <v>251</v>
      </c>
      <c r="AF1" s="4" t="s">
        <v>252</v>
      </c>
      <c r="AJ1" s="4" t="s">
        <v>253</v>
      </c>
      <c r="AN1" s="4" t="s">
        <v>254</v>
      </c>
      <c r="AR1" s="4" t="s">
        <v>255</v>
      </c>
      <c r="AV1" s="4" t="s">
        <v>256</v>
      </c>
    </row>
    <row r="2" s="4" customFormat="1" ht="14.45" customHeight="1" spans="1:52">
      <c r="D2" s="5" t="s">
        <v>257</v>
      </c>
      <c r="E2" s="5" t="s">
        <v>258</v>
      </c>
      <c r="F2" s="5" t="s">
        <v>259</v>
      </c>
      <c r="G2" s="5" t="s">
        <v>260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257</v>
      </c>
      <c r="M2" s="5" t="s">
        <v>258</v>
      </c>
      <c r="N2" s="5" t="s">
        <v>259</v>
      </c>
      <c r="O2" s="5" t="s">
        <v>260</v>
      </c>
      <c r="P2" s="5" t="s">
        <v>257</v>
      </c>
      <c r="Q2" s="5" t="s">
        <v>258</v>
      </c>
      <c r="R2" s="5" t="s">
        <v>259</v>
      </c>
      <c r="S2" s="5" t="s">
        <v>260</v>
      </c>
      <c r="T2" s="5" t="s">
        <v>257</v>
      </c>
      <c r="U2" s="5" t="s">
        <v>258</v>
      </c>
      <c r="V2" s="5" t="s">
        <v>259</v>
      </c>
      <c r="W2" s="5" t="s">
        <v>260</v>
      </c>
      <c r="X2" s="5" t="s">
        <v>257</v>
      </c>
      <c r="Y2" s="5" t="s">
        <v>258</v>
      </c>
      <c r="Z2" s="5" t="s">
        <v>259</v>
      </c>
      <c r="AA2" s="5" t="s">
        <v>260</v>
      </c>
      <c r="AB2" s="5" t="s">
        <v>257</v>
      </c>
      <c r="AC2" s="5" t="s">
        <v>258</v>
      </c>
      <c r="AD2" s="5" t="s">
        <v>259</v>
      </c>
      <c r="AE2" s="5" t="s">
        <v>260</v>
      </c>
      <c r="AF2" s="5" t="s">
        <v>257</v>
      </c>
      <c r="AG2" s="5" t="s">
        <v>258</v>
      </c>
      <c r="AH2" s="5" t="s">
        <v>259</v>
      </c>
      <c r="AI2" s="5" t="s">
        <v>260</v>
      </c>
      <c r="AJ2" s="5" t="s">
        <v>257</v>
      </c>
      <c r="AK2" s="5" t="s">
        <v>258</v>
      </c>
      <c r="AL2" s="5" t="s">
        <v>259</v>
      </c>
      <c r="AM2" s="5" t="s">
        <v>260</v>
      </c>
      <c r="AN2" s="5" t="s">
        <v>257</v>
      </c>
      <c r="AO2" s="5" t="s">
        <v>258</v>
      </c>
      <c r="AP2" s="5" t="s">
        <v>259</v>
      </c>
      <c r="AQ2" s="5" t="s">
        <v>260</v>
      </c>
      <c r="AR2" s="5" t="s">
        <v>257</v>
      </c>
      <c r="AS2" s="5" t="s">
        <v>258</v>
      </c>
      <c r="AT2" s="5" t="s">
        <v>259</v>
      </c>
      <c r="AU2" s="5" t="s">
        <v>260</v>
      </c>
      <c r="AV2" s="5" t="s">
        <v>257</v>
      </c>
      <c r="AW2" s="5" t="s">
        <v>258</v>
      </c>
      <c r="AX2" s="5" t="s">
        <v>259</v>
      </c>
      <c r="AY2" s="5" t="s">
        <v>260</v>
      </c>
    </row>
    <row r="3" s="4" customFormat="1" ht="14.45" customHeight="1" spans="1:52">
      <c r="A3" s="19" t="s">
        <v>197</v>
      </c>
      <c r="B3" s="6">
        <v>303</v>
      </c>
      <c r="C3" s="6" t="s">
        <v>277</v>
      </c>
      <c r="D3" s="13">
        <v>38.453728932684</v>
      </c>
      <c r="E3" s="13">
        <v>42.849650924026</v>
      </c>
      <c r="F3" s="13">
        <v>0.143402406501455</v>
      </c>
      <c r="G3" s="13">
        <v>0.930601462022839</v>
      </c>
      <c r="H3" s="13">
        <v>37.376</v>
      </c>
      <c r="I3" s="13">
        <v>19.487</v>
      </c>
      <c r="J3" s="13">
        <v>0.14</v>
      </c>
      <c r="K3" s="13">
        <v>0.922</v>
      </c>
      <c r="L3" s="13">
        <v>70.6260859375462</v>
      </c>
      <c r="M3" s="13">
        <v>41.3390980353842</v>
      </c>
      <c r="N3" s="13">
        <v>0.274333065437228</v>
      </c>
      <c r="O3" s="13">
        <v>0.733372175308493</v>
      </c>
      <c r="P3" s="13">
        <v>23.0232428972686</v>
      </c>
      <c r="Q3" s="13">
        <v>18.3131984903873</v>
      </c>
      <c r="R3" s="13">
        <v>0.0979162724094681</v>
      </c>
      <c r="S3" s="13">
        <v>0.970410825492031</v>
      </c>
      <c r="T3" s="14">
        <v>66.265</v>
      </c>
      <c r="U3" s="14">
        <v>53.473</v>
      </c>
      <c r="V3" s="14">
        <v>0.366</v>
      </c>
      <c r="W3" s="14">
        <v>0.799</v>
      </c>
      <c r="X3" s="13">
        <v>55.2458145288039</v>
      </c>
      <c r="Y3" s="13">
        <v>32.1297414736366</v>
      </c>
      <c r="Z3" s="13">
        <v>0.207842358448672</v>
      </c>
      <c r="AA3" s="13">
        <v>0.78766908281757</v>
      </c>
      <c r="AB3" s="13">
        <v>29.2004300814282</v>
      </c>
      <c r="AC3" s="13">
        <v>21.2023630127253</v>
      </c>
      <c r="AD3" s="13">
        <v>0.134260743355427</v>
      </c>
      <c r="AE3" s="13">
        <v>0.948768640902426</v>
      </c>
      <c r="AF3" s="13">
        <v>38.287</v>
      </c>
      <c r="AG3" s="13">
        <v>22.014</v>
      </c>
      <c r="AH3" s="13">
        <v>0.153</v>
      </c>
      <c r="AI3" s="13">
        <v>0.91</v>
      </c>
      <c r="AJ3" s="13">
        <v>62.4372348329191</v>
      </c>
      <c r="AK3" s="13">
        <v>32.2119564249542</v>
      </c>
      <c r="AL3" s="13">
        <v>0.227463595373281</v>
      </c>
      <c r="AM3" s="13">
        <v>0.726633904928825</v>
      </c>
      <c r="AN3" s="13">
        <v>52.3619542011265</v>
      </c>
      <c r="AO3" s="13">
        <v>42.6251738277605</v>
      </c>
      <c r="AP3" s="13">
        <v>0.203259546852861</v>
      </c>
      <c r="AQ3" s="13">
        <v>0.871034238693448</v>
      </c>
      <c r="AR3" s="13">
        <v>39.3</v>
      </c>
      <c r="AS3" s="13">
        <v>35.686</v>
      </c>
      <c r="AT3" s="13">
        <v>0.16</v>
      </c>
      <c r="AU3" s="13">
        <v>0.917</v>
      </c>
      <c r="AV3" s="13">
        <v>62.9886823358428</v>
      </c>
      <c r="AW3" s="13">
        <v>38.0128839361926</v>
      </c>
      <c r="AX3" s="13">
        <v>0.225046470262513</v>
      </c>
      <c r="AY3" s="13">
        <v>0.762938160391681</v>
      </c>
      <c r="AZ3" s="9"/>
    </row>
    <row r="4" s="4" customFormat="1" ht="14.45" customHeight="1" spans="1:52">
      <c r="A4" s="19" t="s">
        <v>204</v>
      </c>
      <c r="B4" s="6">
        <v>307</v>
      </c>
      <c r="C4" s="6" t="s">
        <v>278</v>
      </c>
      <c r="D4" s="13">
        <v>26.677436872473</v>
      </c>
      <c r="E4" s="13">
        <v>8.61576200345177</v>
      </c>
      <c r="F4" s="13">
        <v>0.154132862534335</v>
      </c>
      <c r="G4" s="13">
        <v>0.955253482293777</v>
      </c>
      <c r="H4" s="13">
        <v>69.348</v>
      </c>
      <c r="I4" s="13">
        <v>58.2</v>
      </c>
      <c r="J4" s="13">
        <v>0.551</v>
      </c>
      <c r="K4" s="13">
        <v>0.814</v>
      </c>
      <c r="L4" s="13">
        <v>125.094259383408</v>
      </c>
      <c r="M4" s="13">
        <v>65.3200117983508</v>
      </c>
      <c r="N4" s="13">
        <v>0.998984847821735</v>
      </c>
      <c r="O4" s="13">
        <v>0.146652456542602</v>
      </c>
      <c r="P4" s="13">
        <v>36.4916192884449</v>
      </c>
      <c r="Q4" s="13">
        <v>16.0855784786452</v>
      </c>
      <c r="R4" s="13">
        <v>0.230602701603801</v>
      </c>
      <c r="S4" s="13">
        <v>0.916033476782402</v>
      </c>
      <c r="T4" s="14">
        <v>68.464</v>
      </c>
      <c r="U4" s="14">
        <v>39.771</v>
      </c>
      <c r="V4" s="14">
        <v>0.656</v>
      </c>
      <c r="W4" s="14">
        <v>0.824</v>
      </c>
      <c r="X4" s="13">
        <v>114.672090606479</v>
      </c>
      <c r="Y4" s="13">
        <v>47.6489266830541</v>
      </c>
      <c r="Z4" s="13">
        <v>0.829927511463488</v>
      </c>
      <c r="AA4" s="13">
        <v>0.24086022961567</v>
      </c>
      <c r="AB4" s="13">
        <v>40.7226055518655</v>
      </c>
      <c r="AC4" s="13">
        <v>19.299926550882</v>
      </c>
      <c r="AD4" s="13">
        <v>0.177535454471881</v>
      </c>
      <c r="AE4" s="13">
        <v>0.897018025557598</v>
      </c>
      <c r="AF4" s="13">
        <v>73.162</v>
      </c>
      <c r="AG4" s="13">
        <v>57.236</v>
      </c>
      <c r="AH4" s="13">
        <v>0.807</v>
      </c>
      <c r="AI4" s="13">
        <v>0.823</v>
      </c>
      <c r="AJ4" s="13">
        <v>114.401116829466</v>
      </c>
      <c r="AK4" s="13">
        <v>69.262055813863</v>
      </c>
      <c r="AL4" s="13">
        <v>0.927647489783848</v>
      </c>
      <c r="AM4" s="13">
        <v>0.346337947292954</v>
      </c>
      <c r="AN4" s="13">
        <v>43.0809526813777</v>
      </c>
      <c r="AO4" s="13">
        <v>21.3865442607445</v>
      </c>
      <c r="AP4" s="13">
        <v>0.207839618908883</v>
      </c>
      <c r="AQ4" s="13">
        <v>0.911334463827073</v>
      </c>
      <c r="AR4" s="13">
        <v>78.467</v>
      </c>
      <c r="AS4" s="13">
        <v>70.336</v>
      </c>
      <c r="AT4" s="13">
        <v>0.698</v>
      </c>
      <c r="AU4" s="13">
        <v>0.792</v>
      </c>
      <c r="AV4" s="13">
        <v>111.885974328617</v>
      </c>
      <c r="AW4" s="13">
        <v>76.5142160203274</v>
      </c>
      <c r="AX4" s="13">
        <v>0.823000732866795</v>
      </c>
      <c r="AY4" s="13">
        <v>0.425320371833696</v>
      </c>
      <c r="AZ4" s="9"/>
    </row>
    <row r="5" s="4" customFormat="1" ht="14.45" customHeight="1" spans="1:52">
      <c r="A5" s="19" t="s">
        <v>207</v>
      </c>
      <c r="B5" s="6">
        <v>291</v>
      </c>
      <c r="C5" s="6" t="s">
        <v>279</v>
      </c>
      <c r="D5" s="13">
        <v>38.7297627527364</v>
      </c>
      <c r="E5" s="13">
        <v>22.8722216606311</v>
      </c>
      <c r="F5" s="13">
        <v>0.200137286227495</v>
      </c>
      <c r="G5" s="13">
        <v>0.934145522255462</v>
      </c>
      <c r="H5" s="13">
        <v>74.455</v>
      </c>
      <c r="I5" s="13">
        <v>61.841</v>
      </c>
      <c r="J5" s="13">
        <v>0.5</v>
      </c>
      <c r="K5" s="13">
        <v>0.817</v>
      </c>
      <c r="L5" s="13">
        <v>100.611490133402</v>
      </c>
      <c r="M5" s="13">
        <v>63.1394159245567</v>
      </c>
      <c r="N5" s="13">
        <v>1.0729349707752</v>
      </c>
      <c r="O5" s="13">
        <v>0.476931385308552</v>
      </c>
      <c r="P5" s="13">
        <v>37.5483041954854</v>
      </c>
      <c r="Q5" s="13">
        <v>20.749070399669</v>
      </c>
      <c r="R5" s="13">
        <v>0.179078208251864</v>
      </c>
      <c r="S5" s="13">
        <v>0.916372638223932</v>
      </c>
      <c r="T5" s="14">
        <v>92.855</v>
      </c>
      <c r="U5" s="14">
        <v>78.539</v>
      </c>
      <c r="V5" s="14">
        <v>0.579</v>
      </c>
      <c r="W5" s="14">
        <v>0.726</v>
      </c>
      <c r="X5" s="13">
        <v>112.486459538224</v>
      </c>
      <c r="Y5" s="13">
        <v>92.4590714776724</v>
      </c>
      <c r="Z5" s="13">
        <v>1.20926541173042</v>
      </c>
      <c r="AA5" s="13">
        <v>0.431815358719793</v>
      </c>
      <c r="AB5" s="13">
        <v>39.9337601176688</v>
      </c>
      <c r="AC5" s="13">
        <v>24.2692732893226</v>
      </c>
      <c r="AD5" s="13">
        <v>0.197711020862492</v>
      </c>
      <c r="AE5" s="13">
        <v>0.931368160453555</v>
      </c>
      <c r="AF5" s="13">
        <v>73.669</v>
      </c>
      <c r="AG5" s="13">
        <v>67.589</v>
      </c>
      <c r="AH5" s="13">
        <v>0.453</v>
      </c>
      <c r="AI5" s="13">
        <v>0.815</v>
      </c>
      <c r="AJ5" s="13">
        <v>108.293883419159</v>
      </c>
      <c r="AK5" s="13">
        <v>84.4077584489342</v>
      </c>
      <c r="AL5" s="13">
        <v>1.08823662268369</v>
      </c>
      <c r="AM5" s="13">
        <v>0.433899643012332</v>
      </c>
      <c r="AN5" s="13">
        <v>41.2178700185288</v>
      </c>
      <c r="AO5" s="13">
        <v>14.9610079576519</v>
      </c>
      <c r="AP5" s="13">
        <v>0.184889791821524</v>
      </c>
      <c r="AQ5" s="13">
        <v>0.899730343340978</v>
      </c>
      <c r="AR5" s="13">
        <v>64.266</v>
      </c>
      <c r="AS5" s="13">
        <v>48.869</v>
      </c>
      <c r="AT5" s="13">
        <v>0.43</v>
      </c>
      <c r="AU5" s="13">
        <v>0.836</v>
      </c>
      <c r="AV5" s="13">
        <v>104.450588123232</v>
      </c>
      <c r="AW5" s="13">
        <v>84.1028476898778</v>
      </c>
      <c r="AX5" s="13">
        <v>1.16090977222014</v>
      </c>
      <c r="AY5" s="13">
        <v>0.495963785831137</v>
      </c>
      <c r="AZ5" s="9"/>
    </row>
    <row r="6" s="4" customFormat="1" ht="14.45" customHeight="1" spans="1:52">
      <c r="A6" s="19" t="s">
        <v>208</v>
      </c>
      <c r="B6" s="6">
        <v>380</v>
      </c>
      <c r="C6" s="6" t="s">
        <v>280</v>
      </c>
      <c r="D6" s="13">
        <v>30.1163080348127</v>
      </c>
      <c r="E6" s="13">
        <v>25.4171763222029</v>
      </c>
      <c r="F6" s="13">
        <v>0.123760464777671</v>
      </c>
      <c r="G6" s="13">
        <v>0.946286644781811</v>
      </c>
      <c r="H6" s="13">
        <v>43.541</v>
      </c>
      <c r="I6" s="13">
        <v>21.7</v>
      </c>
      <c r="J6" s="13">
        <v>0.176</v>
      </c>
      <c r="K6" s="13">
        <v>0.834</v>
      </c>
      <c r="L6" s="13">
        <v>92.5332341894175</v>
      </c>
      <c r="M6" s="13">
        <v>66.3175203549777</v>
      </c>
      <c r="N6" s="13">
        <v>0.50974436002774</v>
      </c>
      <c r="O6" s="13">
        <v>0.590392419309739</v>
      </c>
      <c r="P6" s="13">
        <v>25.7260409351831</v>
      </c>
      <c r="Q6" s="13">
        <v>11.6917638210767</v>
      </c>
      <c r="R6" s="13">
        <v>0.091997280705475</v>
      </c>
      <c r="S6" s="13">
        <v>0.948278749951779</v>
      </c>
      <c r="T6" s="14">
        <v>51.351</v>
      </c>
      <c r="U6" s="14">
        <v>28.755</v>
      </c>
      <c r="V6" s="14">
        <v>0.206</v>
      </c>
      <c r="W6" s="14">
        <v>0.827</v>
      </c>
      <c r="X6" s="13">
        <v>82.4645383833463</v>
      </c>
      <c r="Y6" s="13">
        <v>59.0898836530771</v>
      </c>
      <c r="Z6" s="13">
        <v>0.448537288638001</v>
      </c>
      <c r="AA6" s="13">
        <v>0.663188021332554</v>
      </c>
      <c r="AB6" s="13">
        <v>26.6709677073126</v>
      </c>
      <c r="AC6" s="13">
        <v>16.5242127217301</v>
      </c>
      <c r="AD6" s="13">
        <v>0.108179694728888</v>
      </c>
      <c r="AE6" s="13">
        <v>0.946880323195974</v>
      </c>
      <c r="AF6" s="13">
        <v>37.111</v>
      </c>
      <c r="AG6" s="13">
        <v>27.836</v>
      </c>
      <c r="AH6" s="13">
        <v>0.151</v>
      </c>
      <c r="AI6" s="13">
        <v>0.917</v>
      </c>
      <c r="AJ6" s="13">
        <v>81.4299759621329</v>
      </c>
      <c r="AK6" s="13">
        <v>64.6425602465696</v>
      </c>
      <c r="AL6" s="13">
        <v>0.443989210690743</v>
      </c>
      <c r="AM6" s="13">
        <v>0.680873778510335</v>
      </c>
      <c r="AN6" s="13">
        <v>36.0171260166156</v>
      </c>
      <c r="AO6" s="13">
        <v>23.129775141126</v>
      </c>
      <c r="AP6" s="13">
        <v>0.131817775471634</v>
      </c>
      <c r="AQ6" s="13">
        <v>0.9072758508434</v>
      </c>
      <c r="AR6" s="13">
        <v>40.623</v>
      </c>
      <c r="AS6" s="13">
        <v>29.913</v>
      </c>
      <c r="AT6" s="13">
        <v>0.171</v>
      </c>
      <c r="AU6" s="13">
        <v>0.909</v>
      </c>
      <c r="AV6" s="13">
        <v>82.6609620973992</v>
      </c>
      <c r="AW6" s="13">
        <v>70.6122256368545</v>
      </c>
      <c r="AX6" s="13">
        <v>0.401718387428865</v>
      </c>
      <c r="AY6" s="13">
        <v>0.664961769017842</v>
      </c>
      <c r="AZ6" s="9"/>
    </row>
    <row r="7" s="4" customFormat="1" ht="14.45" customHeight="1" spans="1:52">
      <c r="A7" s="19" t="s">
        <v>210</v>
      </c>
      <c r="B7" s="6">
        <v>127</v>
      </c>
      <c r="C7" s="6" t="s">
        <v>281</v>
      </c>
      <c r="D7" s="13">
        <v>34.1756007125347</v>
      </c>
      <c r="E7" s="13">
        <v>15.1896505180078</v>
      </c>
      <c r="F7" s="13">
        <v>0.201799268742582</v>
      </c>
      <c r="G7" s="13">
        <v>0.706876567578973</v>
      </c>
      <c r="H7" s="13">
        <v>53.391</v>
      </c>
      <c r="I7" s="13">
        <v>28.925</v>
      </c>
      <c r="J7" s="13">
        <v>0.268</v>
      </c>
      <c r="K7" s="13">
        <v>0.431</v>
      </c>
      <c r="L7" s="13">
        <v>72.3706635317577</v>
      </c>
      <c r="M7" s="13">
        <v>73.9938864861096</v>
      </c>
      <c r="N7" s="13">
        <v>0.506074236258543</v>
      </c>
      <c r="O7" s="13">
        <v>0.352873615969861</v>
      </c>
      <c r="P7" s="13">
        <v>29.4309362126862</v>
      </c>
      <c r="Q7" s="13">
        <v>9.00979139721465</v>
      </c>
      <c r="R7" s="13">
        <v>0.138609804434646</v>
      </c>
      <c r="S7" s="13">
        <v>0.742176793063317</v>
      </c>
      <c r="T7" s="14">
        <v>35.492</v>
      </c>
      <c r="U7" s="14">
        <v>21.988</v>
      </c>
      <c r="V7" s="14">
        <v>0.179</v>
      </c>
      <c r="W7" s="14">
        <v>0.771</v>
      </c>
      <c r="X7" s="13">
        <v>83.0430399060491</v>
      </c>
      <c r="Y7" s="13">
        <v>82.8745585688477</v>
      </c>
      <c r="Z7" s="13">
        <v>0.586317190701392</v>
      </c>
      <c r="AA7" s="13">
        <v>0.149664829284274</v>
      </c>
      <c r="AB7" s="13">
        <v>30.1622253802705</v>
      </c>
      <c r="AC7" s="13">
        <v>14.8739513073966</v>
      </c>
      <c r="AD7" s="13">
        <v>0.14939242941452</v>
      </c>
      <c r="AE7" s="13">
        <v>0.747552573161288</v>
      </c>
      <c r="AF7" s="13">
        <v>53.577</v>
      </c>
      <c r="AG7" s="13">
        <v>32.46</v>
      </c>
      <c r="AH7" s="13">
        <v>0.419</v>
      </c>
      <c r="AI7" s="13">
        <v>0.533</v>
      </c>
      <c r="AJ7" s="13">
        <v>65.7383713864126</v>
      </c>
      <c r="AK7" s="13">
        <v>66.2433958101537</v>
      </c>
      <c r="AL7" s="13">
        <v>0.495789784903898</v>
      </c>
      <c r="AM7" s="13">
        <v>0.453180896231024</v>
      </c>
      <c r="AN7" s="13">
        <v>47.8644313626028</v>
      </c>
      <c r="AO7" s="13">
        <v>23.8910170164185</v>
      </c>
      <c r="AP7" s="13">
        <v>0.224293358760373</v>
      </c>
      <c r="AQ7" s="13">
        <v>0.446966978232033</v>
      </c>
      <c r="AR7" s="13">
        <v>38.051</v>
      </c>
      <c r="AS7" s="13">
        <v>29.189</v>
      </c>
      <c r="AT7" s="13">
        <v>0.189</v>
      </c>
      <c r="AU7" s="13">
        <v>0.708</v>
      </c>
      <c r="AV7" s="13">
        <v>66.9558660705604</v>
      </c>
      <c r="AW7" s="13">
        <v>69.7223908417531</v>
      </c>
      <c r="AX7" s="13">
        <v>0.467244968788233</v>
      </c>
      <c r="AY7" s="13">
        <v>0.36210936760668</v>
      </c>
      <c r="AZ7" s="9"/>
    </row>
    <row r="8" s="4" customFormat="1" ht="14.45" customHeight="1" spans="1:52">
      <c r="A8" s="19" t="s">
        <v>220</v>
      </c>
      <c r="B8" s="6">
        <v>72</v>
      </c>
      <c r="C8" s="6" t="s">
        <v>282</v>
      </c>
      <c r="D8" s="13">
        <v>34.5945659974067</v>
      </c>
      <c r="E8" s="13">
        <v>29.8507198504154</v>
      </c>
      <c r="F8" s="13">
        <v>0.188578442153033</v>
      </c>
      <c r="G8" s="13">
        <v>0.89536238651855</v>
      </c>
      <c r="H8" s="13">
        <v>96.702</v>
      </c>
      <c r="I8" s="13">
        <v>109.623</v>
      </c>
      <c r="J8" s="13">
        <v>0.595</v>
      </c>
      <c r="K8" s="13">
        <v>0.341</v>
      </c>
      <c r="L8" s="13">
        <v>72.889324161739</v>
      </c>
      <c r="M8" s="13">
        <v>30.3088446849045</v>
      </c>
      <c r="N8" s="13">
        <v>0.357356916871931</v>
      </c>
      <c r="O8" s="13">
        <v>0.0987382909007728</v>
      </c>
      <c r="P8" s="13">
        <v>33.0512250747292</v>
      </c>
      <c r="Q8" s="13">
        <v>28.0621292729223</v>
      </c>
      <c r="R8" s="13">
        <v>0.206810164694027</v>
      </c>
      <c r="S8" s="13">
        <v>0.91489317199264</v>
      </c>
      <c r="T8" s="14">
        <v>113.419</v>
      </c>
      <c r="U8" s="14">
        <v>69.651</v>
      </c>
      <c r="V8" s="14">
        <v>0.591</v>
      </c>
      <c r="W8" s="14">
        <v>-0.053</v>
      </c>
      <c r="X8" s="13">
        <v>57.6601030443953</v>
      </c>
      <c r="Y8" s="13">
        <v>25.3319979125125</v>
      </c>
      <c r="Z8" s="13">
        <v>0.261826199198129</v>
      </c>
      <c r="AA8" s="13">
        <v>0.394154261677433</v>
      </c>
      <c r="AB8" s="13">
        <v>63.665125161783</v>
      </c>
      <c r="AC8" s="13">
        <v>35.666205417198</v>
      </c>
      <c r="AD8" s="13">
        <v>0.264464990919615</v>
      </c>
      <c r="AE8" s="13">
        <v>0.558256565729846</v>
      </c>
      <c r="AF8" s="13">
        <v>88.463</v>
      </c>
      <c r="AG8" s="13">
        <v>81.04</v>
      </c>
      <c r="AH8" s="13">
        <v>0.513</v>
      </c>
      <c r="AI8" s="13">
        <v>0.414</v>
      </c>
      <c r="AJ8" s="13">
        <v>78.596435303204</v>
      </c>
      <c r="AK8" s="13">
        <v>47.0727321358382</v>
      </c>
      <c r="AL8" s="13">
        <v>0.463982751659588</v>
      </c>
      <c r="AM8" s="13">
        <v>0.147875696721953</v>
      </c>
      <c r="AN8" s="13">
        <v>62.502357845884</v>
      </c>
      <c r="AO8" s="13">
        <v>63.1282688828978</v>
      </c>
      <c r="AP8" s="13">
        <v>0.428920781711162</v>
      </c>
      <c r="AQ8" s="13">
        <v>0.741113439339085</v>
      </c>
      <c r="AR8" s="13">
        <v>82.099</v>
      </c>
      <c r="AS8" s="13">
        <v>59.305</v>
      </c>
      <c r="AT8" s="13">
        <v>0.358</v>
      </c>
      <c r="AU8" s="13">
        <v>0.418</v>
      </c>
      <c r="AV8" s="13">
        <v>81.8732524822978</v>
      </c>
      <c r="AW8" s="13">
        <v>44.4818452270131</v>
      </c>
      <c r="AX8" s="13">
        <v>0.463680050236798</v>
      </c>
      <c r="AY8" s="13">
        <v>0.0513967215065045</v>
      </c>
      <c r="AZ8" s="9"/>
    </row>
    <row r="9" s="4" customFormat="1" ht="14.45" customHeight="1" spans="1:52">
      <c r="A9" s="19" t="s">
        <v>223</v>
      </c>
      <c r="B9" s="6">
        <v>74</v>
      </c>
      <c r="C9" s="6" t="s">
        <v>283</v>
      </c>
      <c r="D9" s="13">
        <v>13.2922216919898</v>
      </c>
      <c r="E9" s="13">
        <v>4.72528541583578</v>
      </c>
      <c r="F9" s="13">
        <v>0.0849524918440477</v>
      </c>
      <c r="G9" s="13">
        <v>0.581013338619887</v>
      </c>
      <c r="H9" s="13">
        <v>19.336</v>
      </c>
      <c r="I9" s="13">
        <v>12.513</v>
      </c>
      <c r="J9" s="13">
        <v>0.141</v>
      </c>
      <c r="K9" s="13">
        <v>0.471</v>
      </c>
      <c r="L9" s="13">
        <v>23.7797285098988</v>
      </c>
      <c r="M9" s="13">
        <v>5.95032403911078</v>
      </c>
      <c r="N9" s="13">
        <v>0.138182859272699</v>
      </c>
      <c r="O9" s="13">
        <v>0.0674477889123308</v>
      </c>
      <c r="P9" s="13">
        <v>15.4394084653897</v>
      </c>
      <c r="Q9" s="13">
        <v>7.42762632553201</v>
      </c>
      <c r="R9" s="13">
        <v>0.0983640337610913</v>
      </c>
      <c r="S9" s="13">
        <v>0.464690491134455</v>
      </c>
      <c r="T9" s="14">
        <v>27.138</v>
      </c>
      <c r="U9" s="14">
        <v>29.398</v>
      </c>
      <c r="V9" s="14">
        <v>0.207</v>
      </c>
      <c r="W9" s="14">
        <v>-0.042</v>
      </c>
      <c r="X9" s="13">
        <v>20.6239747201678</v>
      </c>
      <c r="Y9" s="13">
        <v>8.64897783069646</v>
      </c>
      <c r="Z9" s="13">
        <v>0.113452137330709</v>
      </c>
      <c r="AA9" s="13">
        <v>0.190871130655699</v>
      </c>
      <c r="AB9" s="13">
        <v>21.040988742584</v>
      </c>
      <c r="AC9" s="13">
        <v>17.53393440801</v>
      </c>
      <c r="AD9" s="13">
        <v>0.156032931427836</v>
      </c>
      <c r="AE9" s="13">
        <v>0.284407136185944</v>
      </c>
      <c r="AF9" s="13">
        <v>31.446</v>
      </c>
      <c r="AG9" s="13">
        <v>28.086</v>
      </c>
      <c r="AH9" s="13">
        <v>0.245</v>
      </c>
      <c r="AI9" s="13">
        <v>-0.011</v>
      </c>
      <c r="AJ9" s="13">
        <v>27.8242394240432</v>
      </c>
      <c r="AK9" s="13">
        <v>15.7474107658925</v>
      </c>
      <c r="AL9" s="13">
        <v>0.182180214713925</v>
      </c>
      <c r="AM9" s="13">
        <v>0.142126553700242</v>
      </c>
      <c r="AN9" s="13">
        <v>24.1482289029678</v>
      </c>
      <c r="AO9" s="13">
        <v>15.8514372290423</v>
      </c>
      <c r="AP9" s="13">
        <v>0.183437665713737</v>
      </c>
      <c r="AQ9" s="13">
        <v>-0.282283724255158</v>
      </c>
      <c r="AR9" s="13">
        <v>26.833</v>
      </c>
      <c r="AS9" s="13">
        <v>26.474</v>
      </c>
      <c r="AT9" s="13">
        <v>0.22</v>
      </c>
      <c r="AU9" s="13">
        <v>0.081</v>
      </c>
      <c r="AV9" s="13">
        <v>23.2970863732548</v>
      </c>
      <c r="AW9" s="13">
        <v>11.674159613503</v>
      </c>
      <c r="AX9" s="13">
        <v>0.146263662728843</v>
      </c>
      <c r="AY9" s="13">
        <v>0.255624776405051</v>
      </c>
      <c r="AZ9" s="9"/>
    </row>
    <row r="10" s="4" customFormat="1" ht="14.45" customHeight="1" spans="1:52">
      <c r="A10" s="19" t="s">
        <v>231</v>
      </c>
      <c r="B10" s="6">
        <v>54</v>
      </c>
      <c r="C10" s="6" t="s">
        <v>284</v>
      </c>
      <c r="D10" s="13">
        <v>70.7678481849927</v>
      </c>
      <c r="E10" s="13">
        <v>52.6829718264957</v>
      </c>
      <c r="F10" s="13">
        <v>0.246608438085539</v>
      </c>
      <c r="G10" s="13">
        <v>0.84442674312348</v>
      </c>
      <c r="H10" s="13">
        <v>109.397</v>
      </c>
      <c r="I10" s="13">
        <v>99.843</v>
      </c>
      <c r="J10" s="13">
        <v>0.28</v>
      </c>
      <c r="K10" s="13">
        <v>0.663</v>
      </c>
      <c r="L10" s="13">
        <v>148.708271519012</v>
      </c>
      <c r="M10" s="13">
        <v>121.713613211905</v>
      </c>
      <c r="N10" s="13">
        <v>0.492060709215375</v>
      </c>
      <c r="O10" s="13">
        <v>0.551879494768309</v>
      </c>
      <c r="P10" s="13">
        <v>66.6343470391457</v>
      </c>
      <c r="Q10" s="13">
        <v>40.6373456421566</v>
      </c>
      <c r="R10" s="13">
        <v>0.253187955930274</v>
      </c>
      <c r="S10" s="13">
        <v>0.825836577931137</v>
      </c>
      <c r="T10" s="14">
        <v>232.757</v>
      </c>
      <c r="U10" s="14">
        <v>206.879</v>
      </c>
      <c r="V10" s="14">
        <v>0.919</v>
      </c>
      <c r="W10" s="14">
        <v>-0.607</v>
      </c>
      <c r="X10" s="13">
        <v>149.892585144572</v>
      </c>
      <c r="Y10" s="13">
        <v>115.39166296373</v>
      </c>
      <c r="Z10" s="13">
        <v>0.532008037710679</v>
      </c>
      <c r="AA10" s="13">
        <v>0.483652323423003</v>
      </c>
      <c r="AB10" s="13">
        <v>93.7200514631718</v>
      </c>
      <c r="AC10" s="13">
        <v>73.1945349931049</v>
      </c>
      <c r="AD10" s="13">
        <v>0.336807072879673</v>
      </c>
      <c r="AE10" s="13">
        <v>0.670572349429254</v>
      </c>
      <c r="AF10" s="13">
        <v>188.908</v>
      </c>
      <c r="AG10" s="13">
        <v>190.979</v>
      </c>
      <c r="AH10" s="13">
        <v>0.604</v>
      </c>
      <c r="AI10" s="13">
        <v>-0.023</v>
      </c>
      <c r="AJ10" s="13">
        <v>152.67354830746</v>
      </c>
      <c r="AK10" s="13">
        <v>118.48111282787</v>
      </c>
      <c r="AL10" s="13">
        <v>0.534556247180738</v>
      </c>
      <c r="AM10" s="13">
        <v>0.454555863916902</v>
      </c>
      <c r="AN10" s="13">
        <v>86.8369742318456</v>
      </c>
      <c r="AO10" s="13">
        <v>53.65920127355</v>
      </c>
      <c r="AP10" s="13">
        <v>0.343485083760165</v>
      </c>
      <c r="AQ10" s="13">
        <v>0.67928096037909</v>
      </c>
      <c r="AR10" s="13">
        <v>119.855</v>
      </c>
      <c r="AS10" s="13">
        <v>106.632</v>
      </c>
      <c r="AT10" s="13">
        <v>0.295</v>
      </c>
      <c r="AU10" s="13">
        <v>0.619</v>
      </c>
      <c r="AV10" s="13">
        <v>156.845167709982</v>
      </c>
      <c r="AW10" s="13">
        <v>113.340739940302</v>
      </c>
      <c r="AX10" s="13">
        <v>0.551769022257573</v>
      </c>
      <c r="AY10" s="13">
        <v>0.451267677068631</v>
      </c>
      <c r="AZ10" s="9"/>
    </row>
    <row r="11" s="4" customFormat="1" ht="14.45" customHeight="1" spans="1:52">
      <c r="A11" s="19" t="s">
        <v>234</v>
      </c>
      <c r="B11" s="6">
        <v>59</v>
      </c>
      <c r="C11" s="6" t="s">
        <v>285</v>
      </c>
      <c r="D11" s="13">
        <v>75.7048931512687</v>
      </c>
      <c r="E11" s="13">
        <v>71.1949753868908</v>
      </c>
      <c r="F11" s="13">
        <v>0.20875645659445</v>
      </c>
      <c r="G11" s="13">
        <v>0.852057989297208</v>
      </c>
      <c r="H11" s="13">
        <v>165.928</v>
      </c>
      <c r="I11" s="13">
        <v>110.81</v>
      </c>
      <c r="J11" s="13">
        <v>0.434</v>
      </c>
      <c r="K11" s="13">
        <v>0.274</v>
      </c>
      <c r="L11" s="13">
        <v>137.622431825489</v>
      </c>
      <c r="M11" s="13">
        <v>109.780604680656</v>
      </c>
      <c r="N11" s="13">
        <v>0.325920715964524</v>
      </c>
      <c r="O11" s="13">
        <v>0.066977077312348</v>
      </c>
      <c r="P11" s="13">
        <v>42.3612135108906</v>
      </c>
      <c r="Q11" s="13">
        <v>18.2628028454385</v>
      </c>
      <c r="R11" s="13">
        <v>0.156991016134411</v>
      </c>
      <c r="S11" s="13">
        <v>0.918125729893356</v>
      </c>
      <c r="T11" s="14">
        <v>148.596</v>
      </c>
      <c r="U11" s="14">
        <v>152.659</v>
      </c>
      <c r="V11" s="14">
        <v>0.374</v>
      </c>
      <c r="W11" s="14">
        <v>0.547</v>
      </c>
      <c r="X11" s="13">
        <v>138.318485086744</v>
      </c>
      <c r="Y11" s="13">
        <v>126.076260674799</v>
      </c>
      <c r="Z11" s="13">
        <v>0.333414392979895</v>
      </c>
      <c r="AA11" s="13">
        <v>-0.0052343670484718</v>
      </c>
      <c r="AB11" s="13">
        <v>84.6528243870271</v>
      </c>
      <c r="AC11" s="13">
        <v>31.8477702396596</v>
      </c>
      <c r="AD11" s="13">
        <v>0.267807462339917</v>
      </c>
      <c r="AE11" s="13">
        <v>0.720985082416943</v>
      </c>
      <c r="AF11" s="13">
        <v>195.181</v>
      </c>
      <c r="AG11" s="13">
        <v>158.123</v>
      </c>
      <c r="AH11" s="13">
        <v>0.41</v>
      </c>
      <c r="AI11" s="13">
        <v>0.034</v>
      </c>
      <c r="AJ11" s="13">
        <v>155.259207716994</v>
      </c>
      <c r="AK11" s="13">
        <v>148.311231264489</v>
      </c>
      <c r="AL11" s="13">
        <v>0.370622427849224</v>
      </c>
      <c r="AM11" s="13">
        <v>-0.20448381860262</v>
      </c>
      <c r="AN11" s="13">
        <v>100.983557482873</v>
      </c>
      <c r="AO11" s="13">
        <v>88.3152435647443</v>
      </c>
      <c r="AP11" s="13">
        <v>0.285971598151876</v>
      </c>
      <c r="AQ11" s="13">
        <v>0.724497058000499</v>
      </c>
      <c r="AR11" s="13">
        <v>192.665</v>
      </c>
      <c r="AS11" s="13">
        <v>176.055</v>
      </c>
      <c r="AT11" s="13">
        <v>0.421</v>
      </c>
      <c r="AU11" s="13">
        <v>0.305</v>
      </c>
      <c r="AV11" s="13">
        <v>116.839237662662</v>
      </c>
      <c r="AW11" s="13">
        <v>57.8144545287189</v>
      </c>
      <c r="AX11" s="13">
        <v>0.303834550902358</v>
      </c>
      <c r="AY11" s="13">
        <v>0.0876554778181644</v>
      </c>
      <c r="AZ11" s="9"/>
    </row>
    <row r="12" s="4" customFormat="1" ht="14.45" customHeight="1" spans="1:52">
      <c r="A12" s="19" t="s">
        <v>236</v>
      </c>
      <c r="B12" s="6">
        <v>58</v>
      </c>
      <c r="C12" s="6" t="s">
        <v>286</v>
      </c>
      <c r="D12" s="13">
        <v>61.5755360574574</v>
      </c>
      <c r="E12" s="13">
        <v>38.6189363170115</v>
      </c>
      <c r="F12" s="13">
        <v>0.203262499969648</v>
      </c>
      <c r="G12" s="13">
        <v>0.883429741391855</v>
      </c>
      <c r="H12" s="13">
        <v>231.102</v>
      </c>
      <c r="I12" s="13">
        <v>217.8</v>
      </c>
      <c r="J12" s="13">
        <v>0.561</v>
      </c>
      <c r="K12" s="13">
        <v>0.008</v>
      </c>
      <c r="L12" s="13">
        <v>144.835147674873</v>
      </c>
      <c r="M12" s="13">
        <v>117.863903194182</v>
      </c>
      <c r="N12" s="13">
        <v>0.431482041568698</v>
      </c>
      <c r="O12" s="13">
        <v>0.397574313537549</v>
      </c>
      <c r="P12" s="13">
        <v>88.228465656631</v>
      </c>
      <c r="Q12" s="13">
        <v>52.9416844582341</v>
      </c>
      <c r="R12" s="13">
        <v>0.225630996881963</v>
      </c>
      <c r="S12" s="13">
        <v>0.810494867894359</v>
      </c>
      <c r="T12" s="14">
        <v>310.904</v>
      </c>
      <c r="U12" s="14">
        <v>279.853</v>
      </c>
      <c r="V12" s="14">
        <v>0.749</v>
      </c>
      <c r="W12" s="14">
        <v>-0.829</v>
      </c>
      <c r="X12" s="13">
        <v>144.32581178672</v>
      </c>
      <c r="Y12" s="13">
        <v>101.859101565137</v>
      </c>
      <c r="Z12" s="13">
        <v>0.460694100646727</v>
      </c>
      <c r="AA12" s="13">
        <v>0.283113571862889</v>
      </c>
      <c r="AB12" s="13">
        <v>90.9953191164758</v>
      </c>
      <c r="AC12" s="13">
        <v>67.3413307777318</v>
      </c>
      <c r="AD12" s="13">
        <v>0.2519339379255</v>
      </c>
      <c r="AE12" s="13">
        <v>0.824489872819627</v>
      </c>
      <c r="AF12" s="13">
        <v>145.042</v>
      </c>
      <c r="AG12" s="13">
        <v>152.446</v>
      </c>
      <c r="AH12" s="13">
        <v>0.304</v>
      </c>
      <c r="AI12" s="13">
        <v>0.583</v>
      </c>
      <c r="AJ12" s="13">
        <v>156.53385887448</v>
      </c>
      <c r="AK12" s="13">
        <v>115.994585096447</v>
      </c>
      <c r="AL12" s="13">
        <v>0.476530226761497</v>
      </c>
      <c r="AM12" s="13">
        <v>0.268359173952485</v>
      </c>
      <c r="AN12" s="13">
        <v>71.6020391588727</v>
      </c>
      <c r="AO12" s="13">
        <v>43.2923314774768</v>
      </c>
      <c r="AP12" s="13">
        <v>0.219233562361674</v>
      </c>
      <c r="AQ12" s="13">
        <v>0.860945326931423</v>
      </c>
      <c r="AR12" s="13">
        <v>137.143</v>
      </c>
      <c r="AS12" s="13">
        <v>64.799</v>
      </c>
      <c r="AT12" s="13">
        <v>0.487</v>
      </c>
      <c r="AU12" s="13">
        <v>0.231</v>
      </c>
      <c r="AV12" s="13">
        <v>157.795190833271</v>
      </c>
      <c r="AW12" s="13">
        <v>115.573788302967</v>
      </c>
      <c r="AX12" s="13">
        <v>0.488517057521073</v>
      </c>
      <c r="AY12" s="13">
        <v>0.22405055501497</v>
      </c>
      <c r="AZ12" s="9"/>
    </row>
    <row r="13" s="4" customFormat="1" ht="14.45" customHeight="1" spans="1:52">
      <c r="A13" s="19" t="s">
        <v>237</v>
      </c>
      <c r="B13" s="6">
        <v>59</v>
      </c>
      <c r="C13" s="6" t="s">
        <v>287</v>
      </c>
      <c r="D13" s="13">
        <v>65.4699887372553</v>
      </c>
      <c r="E13" s="13">
        <v>60.9755684381578</v>
      </c>
      <c r="F13" s="13">
        <v>0.174449022101126</v>
      </c>
      <c r="G13" s="13">
        <v>0.902713634837502</v>
      </c>
      <c r="H13" s="13">
        <v>203.483</v>
      </c>
      <c r="I13" s="13">
        <v>233.337</v>
      </c>
      <c r="J13" s="13">
        <v>0.435</v>
      </c>
      <c r="K13" s="13">
        <v>0.124</v>
      </c>
      <c r="L13" s="13">
        <v>142.33255077323</v>
      </c>
      <c r="M13" s="13">
        <v>125.644260570408</v>
      </c>
      <c r="N13" s="13">
        <v>0.337131409210704</v>
      </c>
      <c r="O13" s="13">
        <v>0.0131772034451297</v>
      </c>
      <c r="P13" s="13">
        <v>54.4350923869088</v>
      </c>
      <c r="Q13" s="13">
        <v>24.4750820490396</v>
      </c>
      <c r="R13" s="13">
        <v>0.193595150325132</v>
      </c>
      <c r="S13" s="13">
        <v>0.884768440940432</v>
      </c>
      <c r="T13" s="14">
        <v>195.28</v>
      </c>
      <c r="U13" s="14">
        <v>142.916</v>
      </c>
      <c r="V13" s="14">
        <v>0.523</v>
      </c>
      <c r="W13" s="14">
        <v>0.131</v>
      </c>
      <c r="X13" s="13">
        <v>143.949559463495</v>
      </c>
      <c r="Y13" s="13">
        <v>141.811448480952</v>
      </c>
      <c r="Z13" s="13">
        <v>0.346637952397957</v>
      </c>
      <c r="AA13" s="13">
        <v>-0.0701554492744431</v>
      </c>
      <c r="AB13" s="13">
        <v>77.1259209570589</v>
      </c>
      <c r="AC13" s="13">
        <v>29.778211019887</v>
      </c>
      <c r="AD13" s="13">
        <v>0.288152535849241</v>
      </c>
      <c r="AE13" s="13">
        <v>0.726269453343587</v>
      </c>
      <c r="AF13" s="13">
        <v>191.83</v>
      </c>
      <c r="AG13" s="13">
        <v>147.61</v>
      </c>
      <c r="AH13" s="13">
        <v>0.479</v>
      </c>
      <c r="AI13" s="13">
        <v>0.181</v>
      </c>
      <c r="AJ13" s="13">
        <v>162.747062109746</v>
      </c>
      <c r="AK13" s="13">
        <v>163.871159990611</v>
      </c>
      <c r="AL13" s="13">
        <v>0.387665076802748</v>
      </c>
      <c r="AM13" s="13">
        <v>-0.284599590810916</v>
      </c>
      <c r="AN13" s="13">
        <v>94.2844665843894</v>
      </c>
      <c r="AO13" s="13">
        <v>81.3805572824709</v>
      </c>
      <c r="AP13" s="13">
        <v>0.282772711068456</v>
      </c>
      <c r="AQ13" s="13">
        <v>0.760336945914951</v>
      </c>
      <c r="AR13" s="13">
        <v>186.671</v>
      </c>
      <c r="AS13" s="13">
        <v>216.556</v>
      </c>
      <c r="AT13" s="13">
        <v>0.448</v>
      </c>
      <c r="AU13" s="13">
        <v>0.266</v>
      </c>
      <c r="AV13" s="13">
        <v>121.713199583676</v>
      </c>
      <c r="AW13" s="13">
        <v>74.0877708338527</v>
      </c>
      <c r="AX13" s="13">
        <v>0.31418467469973</v>
      </c>
      <c r="AY13" s="13">
        <v>0.0505934358118688</v>
      </c>
      <c r="AZ13" s="9"/>
    </row>
    <row r="14" s="4" customFormat="1" ht="14.45" customHeight="1" spans="1:52">
      <c r="A14" s="19" t="s">
        <v>238</v>
      </c>
      <c r="B14" s="6">
        <v>59</v>
      </c>
      <c r="C14" s="6" t="s">
        <v>288</v>
      </c>
      <c r="D14" s="13">
        <v>59.5157792834337</v>
      </c>
      <c r="E14" s="13">
        <v>34.4682020946427</v>
      </c>
      <c r="F14" s="13">
        <v>0.209877191137798</v>
      </c>
      <c r="G14" s="13">
        <v>0.865059565504092</v>
      </c>
      <c r="H14" s="13">
        <v>131.852</v>
      </c>
      <c r="I14" s="13">
        <v>115.993</v>
      </c>
      <c r="J14" s="13">
        <v>0.329</v>
      </c>
      <c r="K14" s="13">
        <v>0.657</v>
      </c>
      <c r="L14" s="13">
        <v>133.150426657889</v>
      </c>
      <c r="M14" s="13">
        <v>90.8439979118816</v>
      </c>
      <c r="N14" s="13">
        <v>0.318700057630901</v>
      </c>
      <c r="O14" s="13">
        <v>0.0543649753473529</v>
      </c>
      <c r="P14" s="13">
        <v>38.4445722316861</v>
      </c>
      <c r="Q14" s="13">
        <v>12.9254281042506</v>
      </c>
      <c r="R14" s="13">
        <v>0.157545411055963</v>
      </c>
      <c r="S14" s="13">
        <v>0.919386745511378</v>
      </c>
      <c r="T14" s="14">
        <v>133.448</v>
      </c>
      <c r="U14" s="14">
        <v>71.324</v>
      </c>
      <c r="V14" s="14">
        <v>0.486</v>
      </c>
      <c r="W14" s="14">
        <v>0.283</v>
      </c>
      <c r="X14" s="13">
        <v>121.980458252298</v>
      </c>
      <c r="Y14" s="13">
        <v>67.0405215631394</v>
      </c>
      <c r="Z14" s="13">
        <v>0.305114134770033</v>
      </c>
      <c r="AA14" s="13">
        <v>0.0802671631231327</v>
      </c>
      <c r="AB14" s="13">
        <v>71.7795022911921</v>
      </c>
      <c r="AC14" s="13">
        <v>37.0617078140842</v>
      </c>
      <c r="AD14" s="13">
        <v>0.275467905911711</v>
      </c>
      <c r="AE14" s="13">
        <v>0.761415489464483</v>
      </c>
      <c r="AF14" s="13">
        <v>187.042</v>
      </c>
      <c r="AG14" s="13">
        <v>140.467</v>
      </c>
      <c r="AH14" s="13">
        <v>0.616</v>
      </c>
      <c r="AI14" s="13">
        <v>-0.207</v>
      </c>
      <c r="AJ14" s="13">
        <v>126.931460716776</v>
      </c>
      <c r="AK14" s="13">
        <v>77.8867153054544</v>
      </c>
      <c r="AL14" s="13">
        <v>0.322652265032241</v>
      </c>
      <c r="AM14" s="13">
        <v>-0.0433714255220463</v>
      </c>
      <c r="AN14" s="13">
        <v>65.4619045535355</v>
      </c>
      <c r="AO14" s="13">
        <v>46.3567846689364</v>
      </c>
      <c r="AP14" s="13">
        <v>0.209024907376708</v>
      </c>
      <c r="AQ14" s="13">
        <v>0.873649226153488</v>
      </c>
      <c r="AR14" s="13">
        <v>97.763</v>
      </c>
      <c r="AS14" s="13">
        <v>90.645</v>
      </c>
      <c r="AT14" s="13">
        <v>0.269</v>
      </c>
      <c r="AU14" s="13">
        <v>0.752</v>
      </c>
      <c r="AV14" s="13">
        <v>114.047645109942</v>
      </c>
      <c r="AW14" s="13">
        <v>37.0041819359269</v>
      </c>
      <c r="AX14" s="13">
        <v>0.299257281023062</v>
      </c>
      <c r="AY14" s="13">
        <v>0.0695541633742943</v>
      </c>
      <c r="AZ14" s="9"/>
    </row>
    <row r="15" s="4" customFormat="1" ht="14.45" customHeight="1" spans="1:52">
      <c r="A15" s="19" t="s">
        <v>239</v>
      </c>
      <c r="B15" s="6">
        <v>58</v>
      </c>
      <c r="C15" s="6" t="s">
        <v>289</v>
      </c>
      <c r="D15" s="13">
        <v>73.6933462205545</v>
      </c>
      <c r="E15" s="13">
        <v>78.2233070889515</v>
      </c>
      <c r="F15" s="13">
        <v>0.182060297185919</v>
      </c>
      <c r="G15" s="13">
        <v>0.877252786200584</v>
      </c>
      <c r="H15" s="13">
        <v>157.04</v>
      </c>
      <c r="I15" s="13">
        <v>114.138</v>
      </c>
      <c r="J15" s="13">
        <v>0.423</v>
      </c>
      <c r="K15" s="13">
        <v>0.343</v>
      </c>
      <c r="L15" s="13">
        <v>154.681608577827</v>
      </c>
      <c r="M15" s="13">
        <v>142.277697326631</v>
      </c>
      <c r="N15" s="13">
        <v>0.42462545609619</v>
      </c>
      <c r="O15" s="13">
        <v>0.366054516105767</v>
      </c>
      <c r="P15" s="13">
        <v>62.0651560035996</v>
      </c>
      <c r="Q15" s="13">
        <v>23.8670936560429</v>
      </c>
      <c r="R15" s="13">
        <v>0.224090679161333</v>
      </c>
      <c r="S15" s="13">
        <v>0.828180222769531</v>
      </c>
      <c r="T15" s="14">
        <v>230.012</v>
      </c>
      <c r="U15" s="14">
        <v>197.163</v>
      </c>
      <c r="V15" s="14">
        <v>0.642</v>
      </c>
      <c r="W15" s="14">
        <v>-0.182</v>
      </c>
      <c r="X15" s="13">
        <v>130.157010759453</v>
      </c>
      <c r="Y15" s="13">
        <v>50.8502466349948</v>
      </c>
      <c r="Z15" s="13">
        <v>0.433647070103947</v>
      </c>
      <c r="AA15" s="13">
        <v>0.288696504727759</v>
      </c>
      <c r="AB15" s="13">
        <v>54.1391054376973</v>
      </c>
      <c r="AC15" s="13">
        <v>21.8140121138446</v>
      </c>
      <c r="AD15" s="13">
        <v>0.181292241234677</v>
      </c>
      <c r="AE15" s="13">
        <v>0.8813651361268</v>
      </c>
      <c r="AF15" s="13">
        <v>215.164</v>
      </c>
      <c r="AG15" s="13">
        <v>203.024</v>
      </c>
      <c r="AH15" s="13">
        <v>0.519</v>
      </c>
      <c r="AI15" s="13">
        <v>0.06</v>
      </c>
      <c r="AJ15" s="13">
        <v>148.583443355586</v>
      </c>
      <c r="AK15" s="13">
        <v>63.822834724035</v>
      </c>
      <c r="AL15" s="13">
        <v>0.458601089450838</v>
      </c>
      <c r="AM15" s="13">
        <v>0.246089143979507</v>
      </c>
      <c r="AN15" s="13">
        <v>104.340421961268</v>
      </c>
      <c r="AO15" s="13">
        <v>85.5081857255487</v>
      </c>
      <c r="AP15" s="13">
        <v>0.298400952837181</v>
      </c>
      <c r="AQ15" s="13">
        <v>0.718159129948575</v>
      </c>
      <c r="AR15" s="13">
        <v>167.04</v>
      </c>
      <c r="AS15" s="13">
        <v>91.243</v>
      </c>
      <c r="AT15" s="13">
        <v>0.462</v>
      </c>
      <c r="AU15" s="13">
        <v>0.241</v>
      </c>
      <c r="AV15" s="13">
        <v>130.596341921873</v>
      </c>
      <c r="AW15" s="13">
        <v>40.7819856517457</v>
      </c>
      <c r="AX15" s="13">
        <v>0.439342173809959</v>
      </c>
      <c r="AY15" s="13">
        <v>0.270399499008741</v>
      </c>
      <c r="AZ15" s="9"/>
    </row>
    <row r="16" s="4" customFormat="1" ht="14.45" customHeight="1" spans="1:52">
      <c r="A16" s="19" t="s">
        <v>241</v>
      </c>
      <c r="B16" s="6">
        <v>58</v>
      </c>
      <c r="C16" s="6" t="s">
        <v>290</v>
      </c>
      <c r="D16" s="13">
        <v>61.7657211581243</v>
      </c>
      <c r="E16" s="13">
        <v>61.1570700654199</v>
      </c>
      <c r="F16" s="13">
        <v>0.166203753149341</v>
      </c>
      <c r="G16" s="13">
        <v>0.917047458072665</v>
      </c>
      <c r="H16" s="13">
        <v>208.792</v>
      </c>
      <c r="I16" s="13">
        <v>193.823</v>
      </c>
      <c r="J16" s="13">
        <v>0.508</v>
      </c>
      <c r="K16" s="13">
        <v>0.18</v>
      </c>
      <c r="L16" s="13">
        <v>145.875018872579</v>
      </c>
      <c r="M16" s="13">
        <v>115.555295960162</v>
      </c>
      <c r="N16" s="13">
        <v>0.443430369230687</v>
      </c>
      <c r="O16" s="13">
        <v>0.398149093010089</v>
      </c>
      <c r="P16" s="13">
        <v>43.2957840902533</v>
      </c>
      <c r="Q16" s="13">
        <v>27.0789138051516</v>
      </c>
      <c r="R16" s="13">
        <v>0.139811088556986</v>
      </c>
      <c r="S16" s="13">
        <v>0.950806089152626</v>
      </c>
      <c r="T16" s="14">
        <v>67.286</v>
      </c>
      <c r="U16" s="14">
        <v>57.814</v>
      </c>
      <c r="V16" s="14">
        <v>0.149</v>
      </c>
      <c r="W16" s="14">
        <v>0.888</v>
      </c>
      <c r="X16" s="13">
        <v>133.9400362051</v>
      </c>
      <c r="Y16" s="13">
        <v>53.2112787130851</v>
      </c>
      <c r="Z16" s="13">
        <v>0.478505875003399</v>
      </c>
      <c r="AA16" s="13">
        <v>0.283300950575864</v>
      </c>
      <c r="AB16" s="13">
        <v>69.762320071818</v>
      </c>
      <c r="AC16" s="13">
        <v>26.9871615285352</v>
      </c>
      <c r="AD16" s="13">
        <v>0.241364484282584</v>
      </c>
      <c r="AE16" s="13">
        <v>0.82153805043091</v>
      </c>
      <c r="AF16" s="13">
        <v>189.721</v>
      </c>
      <c r="AG16" s="13">
        <v>181.564</v>
      </c>
      <c r="AH16" s="13">
        <v>0.526</v>
      </c>
      <c r="AI16" s="13">
        <v>0.217</v>
      </c>
      <c r="AJ16" s="13">
        <v>150.465514294926</v>
      </c>
      <c r="AK16" s="13">
        <v>64.0827029787606</v>
      </c>
      <c r="AL16" s="13">
        <v>0.501777648918677</v>
      </c>
      <c r="AM16" s="13">
        <v>0.241483780688166</v>
      </c>
      <c r="AN16" s="13">
        <v>70.4378886247907</v>
      </c>
      <c r="AO16" s="13">
        <v>68.8662933996324</v>
      </c>
      <c r="AP16" s="13">
        <v>0.200088564920757</v>
      </c>
      <c r="AQ16" s="13">
        <v>0.88791095994057</v>
      </c>
      <c r="AR16" s="13">
        <v>223.632</v>
      </c>
      <c r="AS16" s="13">
        <v>282.866</v>
      </c>
      <c r="AT16" s="13">
        <v>0.563</v>
      </c>
      <c r="AU16" s="13">
        <v>0.024</v>
      </c>
      <c r="AV16" s="13">
        <v>138.396779782617</v>
      </c>
      <c r="AW16" s="13">
        <v>49.7059941871448</v>
      </c>
      <c r="AX16" s="13">
        <v>0.491618068520662</v>
      </c>
      <c r="AY16" s="13">
        <v>0.261646893153246</v>
      </c>
      <c r="AZ16" s="9"/>
    </row>
    <row r="17" s="9" customFormat="1" ht="14.45" customHeight="1" spans="1:51">
      <c r="A17" s="9" t="s">
        <v>275</v>
      </c>
      <c r="D17" s="13">
        <v>48.895195556266</v>
      </c>
      <c r="E17" s="13">
        <v>39.0601069937243</v>
      </c>
      <c r="F17" s="13">
        <v>0.177712920071746</v>
      </c>
      <c r="G17" s="13">
        <v>0.86368052303562</v>
      </c>
      <c r="H17" s="13">
        <v>114.41</v>
      </c>
      <c r="I17" s="13">
        <v>99.86</v>
      </c>
      <c r="J17" s="13">
        <v>0.382</v>
      </c>
      <c r="K17" s="13">
        <v>0.491</v>
      </c>
      <c r="L17" s="13">
        <v>111.79358869629</v>
      </c>
      <c r="M17" s="13">
        <v>83.5748910128015</v>
      </c>
      <c r="N17" s="13">
        <v>0.473640143955869</v>
      </c>
      <c r="O17" s="13">
        <v>0.308184628984207</v>
      </c>
      <c r="P17" s="13">
        <v>42.5839577134502</v>
      </c>
      <c r="Q17" s="13">
        <v>22.2519649104115</v>
      </c>
      <c r="R17" s="13">
        <v>0.171016483136174</v>
      </c>
      <c r="S17" s="13">
        <v>0.857889630052384</v>
      </c>
      <c r="T17" s="14">
        <v>126.662</v>
      </c>
      <c r="U17" s="14">
        <v>102.156</v>
      </c>
      <c r="V17" s="14">
        <v>0.473</v>
      </c>
      <c r="W17" s="14">
        <v>0.292</v>
      </c>
      <c r="X17" s="13">
        <v>106.339997673275</v>
      </c>
      <c r="Y17" s="13">
        <v>71.744548442524</v>
      </c>
      <c r="Z17" s="13">
        <v>0.467656404365961</v>
      </c>
      <c r="AA17" s="13">
        <v>0.300133115106623</v>
      </c>
      <c r="AB17" s="13">
        <v>56.6836533190967</v>
      </c>
      <c r="AC17" s="13">
        <v>31.2424710852937</v>
      </c>
      <c r="AD17" s="13">
        <v>0.216457350400283</v>
      </c>
      <c r="AE17" s="13">
        <v>0.765777632801302</v>
      </c>
      <c r="AF17" s="13">
        <v>122.043</v>
      </c>
      <c r="AG17" s="13">
        <v>106.462</v>
      </c>
      <c r="AH17" s="13">
        <v>0.443</v>
      </c>
      <c r="AI17" s="13">
        <v>0.375</v>
      </c>
      <c r="AJ17" s="13">
        <v>113.708239466664</v>
      </c>
      <c r="AK17" s="13">
        <v>80.8598722738482</v>
      </c>
      <c r="AL17" s="13">
        <v>0.491549617986067</v>
      </c>
      <c r="AM17" s="13">
        <v>0.257782967714224</v>
      </c>
      <c r="AN17" s="13">
        <v>64.3671552590485</v>
      </c>
      <c r="AO17" s="13">
        <v>48.0251301220001</v>
      </c>
      <c r="AP17" s="13">
        <v>0.243102565694071</v>
      </c>
      <c r="AQ17" s="13">
        <v>0.714282228377818</v>
      </c>
      <c r="AR17" s="13">
        <v>106.743</v>
      </c>
      <c r="AS17" s="13">
        <v>94.898</v>
      </c>
      <c r="AT17" s="13">
        <v>0.369</v>
      </c>
      <c r="AU17" s="13">
        <v>0.507</v>
      </c>
      <c r="AV17" s="13">
        <v>105.02471245823</v>
      </c>
      <c r="AW17" s="13">
        <v>63.1021060247272</v>
      </c>
      <c r="AX17" s="13">
        <v>0.469741919519044</v>
      </c>
      <c r="AY17" s="13">
        <v>0.316677332417322</v>
      </c>
    </row>
    <row r="18" s="9" customFormat="1" ht="14.45" customHeight="1" spans="1:51">
      <c r="A18" s="9" t="s">
        <v>276</v>
      </c>
      <c r="D18" s="13">
        <v>20.140783384899</v>
      </c>
      <c r="E18" s="13">
        <v>23.1462230757334</v>
      </c>
      <c r="F18" s="13">
        <v>0.0411463499282437</v>
      </c>
      <c r="G18" s="13">
        <v>0.102130613615856</v>
      </c>
      <c r="H18" s="13">
        <v>69.57</v>
      </c>
      <c r="I18" s="13">
        <v>73.194</v>
      </c>
      <c r="J18" s="13">
        <v>0.159</v>
      </c>
      <c r="K18" s="13">
        <v>0.295</v>
      </c>
      <c r="L18" s="13">
        <v>39.8970372432269</v>
      </c>
      <c r="M18" s="13">
        <v>40.5686924578985</v>
      </c>
      <c r="N18" s="13">
        <v>0.259165422335173</v>
      </c>
      <c r="O18" s="13">
        <v>0.233249290517776</v>
      </c>
      <c r="P18" s="13">
        <v>19.472834079223</v>
      </c>
      <c r="Q18" s="13">
        <v>12.4338807139361</v>
      </c>
      <c r="R18" s="13">
        <v>0.0535123749709076</v>
      </c>
      <c r="S18" s="13">
        <v>0.130029328393493</v>
      </c>
      <c r="T18" s="14">
        <v>86.329</v>
      </c>
      <c r="U18" s="14">
        <v>80.232</v>
      </c>
      <c r="V18" s="14">
        <v>0.235</v>
      </c>
      <c r="W18" s="14">
        <v>0.569</v>
      </c>
      <c r="X18" s="13">
        <v>40.0941793567982</v>
      </c>
      <c r="Y18" s="13">
        <v>39.6849720464598</v>
      </c>
      <c r="Z18" s="13">
        <v>0.27673238908645</v>
      </c>
      <c r="AA18" s="13">
        <v>0.239688832684047</v>
      </c>
      <c r="AB18" s="13">
        <v>25.3718293057981</v>
      </c>
      <c r="AC18" s="13">
        <v>17.9541797056699</v>
      </c>
      <c r="AD18" s="13">
        <v>0.0677433464363274</v>
      </c>
      <c r="AE18" s="13">
        <v>0.179445732842457</v>
      </c>
      <c r="AF18" s="13">
        <v>71.078</v>
      </c>
      <c r="AG18" s="13">
        <v>67.513</v>
      </c>
      <c r="AH18" s="13">
        <v>0.183</v>
      </c>
      <c r="AI18" s="13">
        <v>0.389</v>
      </c>
      <c r="AJ18" s="13">
        <v>43.7090509715589</v>
      </c>
      <c r="AK18" s="13">
        <v>42.1010705690161</v>
      </c>
      <c r="AL18" s="13">
        <v>0.243676103326579</v>
      </c>
      <c r="AM18" s="13">
        <v>0.29601451315001</v>
      </c>
      <c r="AN18" s="13">
        <v>25.2055813559278</v>
      </c>
      <c r="AO18" s="13">
        <v>26.2086776773171</v>
      </c>
      <c r="AP18" s="13">
        <v>0.077048099568672</v>
      </c>
      <c r="AQ18" s="13">
        <v>0.313893626327719</v>
      </c>
      <c r="AR18" s="13">
        <v>65.329</v>
      </c>
      <c r="AS18" s="13">
        <v>77.713</v>
      </c>
      <c r="AT18" s="13">
        <v>0.16</v>
      </c>
      <c r="AU18" s="13">
        <v>0.316</v>
      </c>
      <c r="AV18" s="13">
        <v>37.9436745767147</v>
      </c>
      <c r="AW18" s="13">
        <v>29.2558342083625</v>
      </c>
      <c r="AX18" s="13">
        <v>0.257347565399784</v>
      </c>
      <c r="AY18" s="13">
        <v>0.224764626146257</v>
      </c>
    </row>
  </sheetData>
  <mergeCells count="17"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17:C17"/>
    <mergeCell ref="A18:C18"/>
    <mergeCell ref="A1:A2"/>
    <mergeCell ref="B1:B2"/>
    <mergeCell ref="C1:C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zoomScale="115" zoomScaleNormal="115" workbookViewId="0">
      <selection activeCell="D3" sqref="D3:G18"/>
    </sheetView>
  </sheetViews>
  <sheetFormatPr defaultColWidth="8.875" defaultRowHeight="13.5"/>
  <cols>
    <col min="1" max="1" width="8.625" style="4" customWidth="1"/>
    <col min="2" max="2" width="9.625" style="4" customWidth="1"/>
    <col min="3" max="3" width="15.5" style="4" customWidth="1"/>
    <col min="4" max="11" width="7.625" style="4" customWidth="1"/>
    <col min="12" max="12" width="8.5" style="4" customWidth="1"/>
    <col min="13" max="13" width="8.75" style="4" customWidth="1"/>
    <col min="14" max="15" width="7.625" style="4" customWidth="1"/>
    <col min="16" max="16" width="8.5" style="4" customWidth="1"/>
    <col min="17" max="17" width="8.75" style="4" customWidth="1"/>
    <col min="18" max="19" width="7.625" style="4" customWidth="1"/>
  </cols>
  <sheetData>
    <row r="1" spans="1:19">
      <c r="A1" s="4" t="s">
        <v>242</v>
      </c>
      <c r="B1" s="4" t="s">
        <v>243</v>
      </c>
      <c r="C1" s="4" t="s">
        <v>244</v>
      </c>
      <c r="D1" s="4" t="s">
        <v>291</v>
      </c>
      <c r="H1" s="10" t="s">
        <v>292</v>
      </c>
      <c r="L1" s="10" t="s">
        <v>293</v>
      </c>
      <c r="P1" s="10" t="s">
        <v>294</v>
      </c>
    </row>
    <row r="2" spans="1:19">
      <c r="D2" s="5" t="s">
        <v>257</v>
      </c>
      <c r="E2" s="5" t="s">
        <v>258</v>
      </c>
      <c r="F2" s="5" t="s">
        <v>259</v>
      </c>
      <c r="G2" s="5" t="s">
        <v>260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257</v>
      </c>
      <c r="M2" s="5" t="s">
        <v>258</v>
      </c>
      <c r="N2" s="5" t="s">
        <v>259</v>
      </c>
      <c r="O2" s="5" t="s">
        <v>260</v>
      </c>
      <c r="P2" s="5" t="s">
        <v>257</v>
      </c>
      <c r="Q2" s="5" t="s">
        <v>258</v>
      </c>
      <c r="R2" s="5" t="s">
        <v>259</v>
      </c>
      <c r="S2" s="5" t="s">
        <v>260</v>
      </c>
    </row>
    <row r="3" spans="1:19">
      <c r="A3" s="19" t="s">
        <v>194</v>
      </c>
      <c r="B3" s="6">
        <v>364</v>
      </c>
      <c r="C3" s="6" t="s">
        <v>261</v>
      </c>
      <c r="D3" s="7">
        <v>55.847681743179</v>
      </c>
      <c r="E3" s="7">
        <v>32.8168287031629</v>
      </c>
      <c r="F3" s="7">
        <v>0.187719465101248</v>
      </c>
      <c r="G3" s="7">
        <v>0.844399002508424</v>
      </c>
      <c r="H3" s="11">
        <v>61.05</v>
      </c>
      <c r="I3" s="12">
        <v>41.09</v>
      </c>
      <c r="J3" s="12">
        <v>0.16</v>
      </c>
      <c r="K3" s="11">
        <v>0.83</v>
      </c>
      <c r="L3" s="12">
        <v>92.5521892</v>
      </c>
      <c r="M3" s="12">
        <v>62.590099</v>
      </c>
      <c r="N3" s="12">
        <v>0.327026438</v>
      </c>
      <c r="O3" s="12">
        <v>0.641933218</v>
      </c>
      <c r="P3" s="8">
        <v>46.387</v>
      </c>
      <c r="Q3" s="8">
        <v>28.8435</v>
      </c>
      <c r="R3" s="8">
        <v>0.1489</v>
      </c>
      <c r="S3" s="8">
        <v>0.899</v>
      </c>
    </row>
    <row r="4" spans="1:19">
      <c r="A4" s="19" t="s">
        <v>199</v>
      </c>
      <c r="B4" s="6">
        <v>136</v>
      </c>
      <c r="C4" s="6" t="s">
        <v>262</v>
      </c>
      <c r="D4" s="7">
        <v>54.3805247180023</v>
      </c>
      <c r="E4" s="7">
        <v>36.6313035422818</v>
      </c>
      <c r="F4" s="7">
        <v>0.115682411283287</v>
      </c>
      <c r="G4" s="7">
        <v>0.868034256738521</v>
      </c>
      <c r="H4" s="11">
        <v>62.46</v>
      </c>
      <c r="I4" s="12">
        <v>36.5</v>
      </c>
      <c r="J4" s="12">
        <v>0.23</v>
      </c>
      <c r="K4" s="11">
        <v>0.87</v>
      </c>
      <c r="L4" s="12">
        <v>83.6605926817812</v>
      </c>
      <c r="M4" s="12">
        <v>44.9568184</v>
      </c>
      <c r="N4" s="12">
        <v>0.221101754545452</v>
      </c>
      <c r="O4" s="12">
        <v>0.725556698866581</v>
      </c>
      <c r="P4" s="8">
        <v>56.0323</v>
      </c>
      <c r="Q4" s="8">
        <v>26.1541</v>
      </c>
      <c r="R4" s="8">
        <v>0.2739</v>
      </c>
      <c r="S4" s="8">
        <v>0.8803</v>
      </c>
    </row>
    <row r="5" spans="1:19">
      <c r="A5" s="19" t="s">
        <v>201</v>
      </c>
      <c r="B5" s="6">
        <v>402</v>
      </c>
      <c r="C5" s="6" t="s">
        <v>263</v>
      </c>
      <c r="D5" s="7">
        <v>14.4970473060223</v>
      </c>
      <c r="E5" s="7">
        <v>7.87584980374195</v>
      </c>
      <c r="F5" s="7">
        <v>0.0783371878556169</v>
      </c>
      <c r="G5" s="7">
        <v>0.966356197358779</v>
      </c>
      <c r="H5" s="11">
        <v>17.29</v>
      </c>
      <c r="I5" s="12">
        <v>5.16</v>
      </c>
      <c r="J5" s="12">
        <v>0.12</v>
      </c>
      <c r="K5" s="11">
        <v>0.93</v>
      </c>
      <c r="L5" s="12">
        <v>33.9392069196428</v>
      </c>
      <c r="M5" s="12">
        <v>14.5647381</v>
      </c>
      <c r="N5" s="12">
        <v>0.226920175526029</v>
      </c>
      <c r="O5" s="12">
        <v>0.847362001558555</v>
      </c>
      <c r="P5" s="8">
        <v>18.6933</v>
      </c>
      <c r="Q5" s="8">
        <v>8.1574</v>
      </c>
      <c r="R5" s="8">
        <v>0.1246</v>
      </c>
      <c r="S5" s="8">
        <v>0.953</v>
      </c>
    </row>
    <row r="6" spans="1:19">
      <c r="A6" s="19" t="s">
        <v>203</v>
      </c>
      <c r="B6" s="6">
        <v>361</v>
      </c>
      <c r="C6" s="6" t="s">
        <v>264</v>
      </c>
      <c r="D6" s="7">
        <v>13.15800844922</v>
      </c>
      <c r="E6" s="7">
        <v>7.57657468293643</v>
      </c>
      <c r="F6" s="7">
        <v>0.0743372183996275</v>
      </c>
      <c r="G6" s="7">
        <v>0.979114628896535</v>
      </c>
      <c r="H6" s="11">
        <v>15.05</v>
      </c>
      <c r="I6" s="12">
        <v>4.38</v>
      </c>
      <c r="J6" s="12">
        <v>0.09</v>
      </c>
      <c r="K6" s="11">
        <v>0.94</v>
      </c>
      <c r="L6" s="12">
        <v>34.4569780391141</v>
      </c>
      <c r="M6" s="12">
        <v>16.7886645999999</v>
      </c>
      <c r="N6" s="12">
        <v>0.241964965138907</v>
      </c>
      <c r="O6" s="12">
        <v>0.812021328785677</v>
      </c>
      <c r="P6" s="8">
        <v>19.6579</v>
      </c>
      <c r="Q6" s="8">
        <v>7.562</v>
      </c>
      <c r="R6" s="8">
        <v>0.1248</v>
      </c>
      <c r="S6" s="8">
        <v>0.8882</v>
      </c>
    </row>
    <row r="7" spans="1:19">
      <c r="A7" s="19" t="s">
        <v>212</v>
      </c>
      <c r="B7" s="6">
        <v>132</v>
      </c>
      <c r="C7" s="6" t="s">
        <v>265</v>
      </c>
      <c r="D7" s="7">
        <v>7.98628584624644</v>
      </c>
      <c r="E7" s="7">
        <v>4.58096662507575</v>
      </c>
      <c r="F7" s="7">
        <v>0.0458692357188662</v>
      </c>
      <c r="G7" s="7">
        <v>0.994175800411816</v>
      </c>
      <c r="H7" s="11">
        <v>25.74</v>
      </c>
      <c r="I7" s="12">
        <v>21.38</v>
      </c>
      <c r="J7" s="12">
        <v>0.15</v>
      </c>
      <c r="K7" s="12">
        <v>0.95</v>
      </c>
      <c r="L7" s="12">
        <v>46.1404592976923</v>
      </c>
      <c r="M7" s="12">
        <v>33.7947801</v>
      </c>
      <c r="N7" s="12">
        <v>0.408850446829007</v>
      </c>
      <c r="O7" s="12">
        <v>0.774502337516351</v>
      </c>
      <c r="P7" s="8">
        <v>21.3745</v>
      </c>
      <c r="Q7" s="8">
        <v>18.298</v>
      </c>
      <c r="R7" s="8">
        <v>0.173</v>
      </c>
      <c r="S7" s="8">
        <v>0.9633</v>
      </c>
    </row>
    <row r="8" spans="1:19">
      <c r="A8" s="19" t="s">
        <v>214</v>
      </c>
      <c r="B8" s="6">
        <v>135</v>
      </c>
      <c r="C8" s="6" t="s">
        <v>266</v>
      </c>
      <c r="D8" s="7">
        <v>15.7463360786014</v>
      </c>
      <c r="E8" s="7">
        <v>7.68643590279365</v>
      </c>
      <c r="F8" s="7">
        <v>0.0954450819336698</v>
      </c>
      <c r="G8" s="7">
        <v>0.925984070245577</v>
      </c>
      <c r="H8" s="11">
        <v>26.31</v>
      </c>
      <c r="I8" s="12">
        <v>18.67</v>
      </c>
      <c r="J8" s="12">
        <v>0.29</v>
      </c>
      <c r="K8" s="11">
        <v>0.88</v>
      </c>
      <c r="L8" s="12">
        <v>48.4720313175213</v>
      </c>
      <c r="M8" s="12">
        <v>38.1811018</v>
      </c>
      <c r="N8" s="12">
        <v>0.521679594159239</v>
      </c>
      <c r="O8" s="12">
        <v>0.39391516047109</v>
      </c>
      <c r="P8" s="8">
        <v>18.5106</v>
      </c>
      <c r="Q8" s="8">
        <v>12.4577</v>
      </c>
      <c r="R8" s="8">
        <v>0.2047</v>
      </c>
      <c r="S8" s="8">
        <v>0.8962</v>
      </c>
    </row>
    <row r="9" spans="1:19">
      <c r="A9" s="19" t="s">
        <v>215</v>
      </c>
      <c r="B9" s="6">
        <v>663</v>
      </c>
      <c r="C9" s="6" t="s">
        <v>267</v>
      </c>
      <c r="D9" s="7">
        <v>29.4084262518663</v>
      </c>
      <c r="E9" s="7">
        <v>9.57582331903823</v>
      </c>
      <c r="F9" s="7">
        <v>0.147681836696695</v>
      </c>
      <c r="G9" s="7">
        <v>0.928322293605352</v>
      </c>
      <c r="H9" s="11">
        <v>36.39</v>
      </c>
      <c r="I9" s="12">
        <v>21.23</v>
      </c>
      <c r="J9" s="12">
        <v>0.11</v>
      </c>
      <c r="K9" s="11">
        <v>0.82</v>
      </c>
      <c r="L9" s="12">
        <v>64.6585900841897</v>
      </c>
      <c r="M9" s="12">
        <v>38.2995745</v>
      </c>
      <c r="N9" s="12">
        <v>0.173075114731858</v>
      </c>
      <c r="O9" s="12">
        <v>0.428713633689339</v>
      </c>
      <c r="P9" s="8">
        <v>29.7453</v>
      </c>
      <c r="Q9" s="8">
        <v>15.2933</v>
      </c>
      <c r="R9" s="8">
        <v>0.0843</v>
      </c>
      <c r="S9" s="8">
        <v>0.8093</v>
      </c>
    </row>
    <row r="10" spans="1:19">
      <c r="A10" s="19" t="s">
        <v>217</v>
      </c>
      <c r="B10" s="6">
        <v>110</v>
      </c>
      <c r="C10" s="6" t="s">
        <v>268</v>
      </c>
      <c r="D10" s="7">
        <v>10.5018130259681</v>
      </c>
      <c r="E10" s="7">
        <v>3.54262475146637</v>
      </c>
      <c r="F10" s="7">
        <v>0.0882880863701327</v>
      </c>
      <c r="G10" s="7">
        <v>0.967469515125277</v>
      </c>
      <c r="H10" s="11">
        <v>68.05</v>
      </c>
      <c r="I10" s="12">
        <v>44.74</v>
      </c>
      <c r="J10" s="12">
        <v>0.23</v>
      </c>
      <c r="K10" s="11">
        <v>0.65</v>
      </c>
      <c r="L10" s="12">
        <v>108.198442</v>
      </c>
      <c r="M10" s="12">
        <v>0.17645667729127</v>
      </c>
      <c r="N10" s="12">
        <v>0.320358146957482</v>
      </c>
      <c r="O10" s="12">
        <v>0.21</v>
      </c>
      <c r="P10" s="8">
        <v>52.4004</v>
      </c>
      <c r="Q10" s="8">
        <v>30.0773</v>
      </c>
      <c r="R10" s="8">
        <v>0.1782</v>
      </c>
      <c r="S10" s="8">
        <v>0.6547</v>
      </c>
    </row>
    <row r="11" spans="1:19">
      <c r="A11" s="19" t="s">
        <v>218</v>
      </c>
      <c r="B11" s="6">
        <v>235</v>
      </c>
      <c r="C11" s="6" t="s">
        <v>269</v>
      </c>
      <c r="D11" s="7">
        <v>19.8886795494393</v>
      </c>
      <c r="E11" s="7">
        <v>12.057597300768</v>
      </c>
      <c r="F11" s="7">
        <v>0.103714136576093</v>
      </c>
      <c r="G11" s="7">
        <v>0.965902063006602</v>
      </c>
      <c r="H11" s="11">
        <v>25.61</v>
      </c>
      <c r="I11" s="12">
        <v>18.37</v>
      </c>
      <c r="J11" s="12">
        <v>0.25</v>
      </c>
      <c r="K11" s="11">
        <v>0.86</v>
      </c>
      <c r="L11" s="12">
        <v>45.8381400007764</v>
      </c>
      <c r="M11" s="12">
        <v>31.3854624999999</v>
      </c>
      <c r="N11" s="12">
        <v>0.590378957135782</v>
      </c>
      <c r="O11" s="12">
        <v>0.558256776387865</v>
      </c>
      <c r="P11" s="12">
        <v>22.6149</v>
      </c>
      <c r="Q11" s="8">
        <v>13.907</v>
      </c>
      <c r="R11" s="8">
        <v>0.2373</v>
      </c>
      <c r="S11" s="8">
        <v>0.844</v>
      </c>
    </row>
    <row r="12" spans="1:19">
      <c r="A12" s="19" t="s">
        <v>224</v>
      </c>
      <c r="B12" s="6">
        <v>172</v>
      </c>
      <c r="C12" s="6" t="s">
        <v>270</v>
      </c>
      <c r="D12" s="7">
        <v>16.870392470849</v>
      </c>
      <c r="E12" s="7">
        <v>6.18641608934079</v>
      </c>
      <c r="F12" s="7">
        <v>0.10161736667308</v>
      </c>
      <c r="G12" s="7">
        <v>0.956481158810966</v>
      </c>
      <c r="H12" s="11">
        <v>13.54</v>
      </c>
      <c r="I12" s="12">
        <v>8.95</v>
      </c>
      <c r="J12" s="12">
        <v>0.07</v>
      </c>
      <c r="K12" s="11">
        <v>0.95</v>
      </c>
      <c r="L12" s="12">
        <v>49.0995382148606</v>
      </c>
      <c r="M12" s="12">
        <v>30.7638565</v>
      </c>
      <c r="N12" s="12">
        <v>0.373436885997661</v>
      </c>
      <c r="O12" s="12">
        <v>0.38224746757393</v>
      </c>
      <c r="P12" s="8">
        <v>17.9068</v>
      </c>
      <c r="Q12" s="8">
        <v>10.0368</v>
      </c>
      <c r="R12" s="8">
        <v>0.1775</v>
      </c>
      <c r="S12" s="8">
        <v>0.9301</v>
      </c>
    </row>
    <row r="13" spans="1:19">
      <c r="A13" s="19" t="s">
        <v>226</v>
      </c>
      <c r="B13" s="6">
        <v>373</v>
      </c>
      <c r="C13" s="6" t="s">
        <v>271</v>
      </c>
      <c r="D13" s="7">
        <v>39.3080289416935</v>
      </c>
      <c r="E13" s="7">
        <v>19.2277299322369</v>
      </c>
      <c r="F13" s="7">
        <v>0.100641251489269</v>
      </c>
      <c r="G13" s="7">
        <v>0.718045195509173</v>
      </c>
      <c r="H13" s="11">
        <v>7.39</v>
      </c>
      <c r="I13" s="12">
        <v>3.61</v>
      </c>
      <c r="J13" s="12">
        <v>0.05</v>
      </c>
      <c r="K13" s="11">
        <v>0.99</v>
      </c>
      <c r="L13" s="12">
        <v>40.9790508379053</v>
      </c>
      <c r="M13" s="12">
        <v>23.201648</v>
      </c>
      <c r="N13" s="12">
        <v>0.30240274036526</v>
      </c>
      <c r="O13" s="12">
        <v>0.794311922491823</v>
      </c>
      <c r="P13" s="8">
        <v>16.8209</v>
      </c>
      <c r="Q13" s="8">
        <v>9.6798</v>
      </c>
      <c r="R13" s="8">
        <v>0.1394</v>
      </c>
      <c r="S13" s="8">
        <v>0.9628</v>
      </c>
    </row>
    <row r="14" spans="1:19">
      <c r="A14" s="19" t="s">
        <v>227</v>
      </c>
      <c r="B14" s="6">
        <v>334</v>
      </c>
      <c r="C14" s="6" t="s">
        <v>272</v>
      </c>
      <c r="D14" s="7">
        <v>39.2468438329974</v>
      </c>
      <c r="E14" s="7">
        <v>26.5534870238604</v>
      </c>
      <c r="F14" s="7">
        <v>0.0715941586525593</v>
      </c>
      <c r="G14" s="7">
        <v>0.882924402374768</v>
      </c>
      <c r="H14" s="11">
        <v>4.94</v>
      </c>
      <c r="I14" s="12">
        <v>2.17</v>
      </c>
      <c r="J14" s="12">
        <v>0.04</v>
      </c>
      <c r="K14" s="11">
        <v>1</v>
      </c>
      <c r="L14" s="12">
        <v>35.4901610296478</v>
      </c>
      <c r="M14" s="12">
        <v>19.0796584</v>
      </c>
      <c r="N14" s="12">
        <v>0.287930436336879</v>
      </c>
      <c r="O14" s="12">
        <v>0.846765298862152</v>
      </c>
      <c r="P14" s="8">
        <v>16.4659</v>
      </c>
      <c r="Q14" s="8">
        <v>8.609</v>
      </c>
      <c r="R14" s="8">
        <v>0.164</v>
      </c>
      <c r="S14" s="8">
        <v>0.9668</v>
      </c>
    </row>
    <row r="15" spans="1:19">
      <c r="A15" s="19" t="s">
        <v>228</v>
      </c>
      <c r="B15" s="6">
        <v>345</v>
      </c>
      <c r="C15" s="6" t="s">
        <v>273</v>
      </c>
      <c r="D15" s="7">
        <v>24.643177580181</v>
      </c>
      <c r="E15" s="7">
        <v>13.6699865473807</v>
      </c>
      <c r="F15" s="7">
        <v>0.331048942262028</v>
      </c>
      <c r="G15" s="7">
        <v>0.852679357972381</v>
      </c>
      <c r="H15" s="11">
        <v>6.64</v>
      </c>
      <c r="I15" s="12">
        <v>2.34</v>
      </c>
      <c r="J15" s="12">
        <v>0.05</v>
      </c>
      <c r="K15" s="11">
        <v>0.99</v>
      </c>
      <c r="L15" s="12">
        <v>36.5557915080693</v>
      </c>
      <c r="M15" s="12">
        <v>19.81277455</v>
      </c>
      <c r="N15" s="12">
        <v>0.326399939295315</v>
      </c>
      <c r="O15" s="12">
        <v>0.828844486910515</v>
      </c>
      <c r="P15" s="8">
        <v>15.2862</v>
      </c>
      <c r="Q15" s="8">
        <v>7.1123</v>
      </c>
      <c r="R15" s="8">
        <v>0.153</v>
      </c>
      <c r="S15" s="8">
        <v>0.9697</v>
      </c>
    </row>
    <row r="16" spans="1:19">
      <c r="A16" s="19" t="s">
        <v>229</v>
      </c>
      <c r="B16" s="6">
        <v>395</v>
      </c>
      <c r="C16" s="6" t="s">
        <v>274</v>
      </c>
      <c r="D16" s="7">
        <v>16.1914367129201</v>
      </c>
      <c r="E16" s="7">
        <v>12.3683434043641</v>
      </c>
      <c r="F16" s="7">
        <v>0.0790723594799234</v>
      </c>
      <c r="G16" s="7">
        <v>0.951095962626806</v>
      </c>
      <c r="H16" s="11">
        <v>9.53</v>
      </c>
      <c r="I16" s="12">
        <v>4.75</v>
      </c>
      <c r="J16" s="12">
        <v>0.08</v>
      </c>
      <c r="K16" s="11">
        <v>0.97</v>
      </c>
      <c r="L16" s="12">
        <v>30.5262377642191</v>
      </c>
      <c r="M16" s="12">
        <v>17.6288773999999</v>
      </c>
      <c r="N16" s="12">
        <v>0.252448706189747</v>
      </c>
      <c r="O16" s="12">
        <v>0.794876198313331</v>
      </c>
      <c r="P16" s="8">
        <v>12.8046</v>
      </c>
      <c r="Q16" s="8">
        <v>6.4666</v>
      </c>
      <c r="R16" s="8">
        <v>0.1198</v>
      </c>
      <c r="S16" s="8">
        <v>0.9554</v>
      </c>
    </row>
    <row r="17" spans="1:19">
      <c r="A17" s="9" t="s">
        <v>275</v>
      </c>
      <c r="B17" s="9"/>
      <c r="C17" s="9"/>
      <c r="D17" s="7">
        <v>25.5481916076561</v>
      </c>
      <c r="E17" s="7">
        <v>14.3107119734605</v>
      </c>
      <c r="F17" s="7">
        <v>0.115789195606578</v>
      </c>
      <c r="G17" s="7">
        <v>0.914355993227927</v>
      </c>
      <c r="H17" s="8">
        <f t="shared" ref="E17:S17" si="0">AVERAGE(H3:H16)</f>
        <v>27.1421428571429</v>
      </c>
      <c r="I17" s="8">
        <f t="shared" si="0"/>
        <v>16.6671428571429</v>
      </c>
      <c r="J17" s="8">
        <f t="shared" si="0"/>
        <v>0.137142857142857</v>
      </c>
      <c r="K17" s="8">
        <f t="shared" si="0"/>
        <v>0.902142857142857</v>
      </c>
      <c r="L17" s="8">
        <f t="shared" si="0"/>
        <v>53.6119577782443</v>
      </c>
      <c r="M17" s="8">
        <f t="shared" si="0"/>
        <v>27.9446078948065</v>
      </c>
      <c r="N17" s="8">
        <f t="shared" si="0"/>
        <v>0.32671245008633</v>
      </c>
      <c r="O17" s="8">
        <f t="shared" si="0"/>
        <v>0.645664752101944</v>
      </c>
      <c r="P17" s="8">
        <f t="shared" si="0"/>
        <v>26.0500428571429</v>
      </c>
      <c r="Q17" s="8">
        <f t="shared" si="0"/>
        <v>14.4753428571429</v>
      </c>
      <c r="R17" s="8">
        <f t="shared" si="0"/>
        <v>0.164528571428571</v>
      </c>
      <c r="S17" s="8">
        <f t="shared" si="0"/>
        <v>0.898057142857143</v>
      </c>
    </row>
    <row r="18" spans="1:19">
      <c r="A18" s="9" t="s">
        <v>276</v>
      </c>
      <c r="B18" s="9"/>
      <c r="C18" s="9"/>
      <c r="D18" s="7">
        <v>16.3238308012231</v>
      </c>
      <c r="E18" s="7">
        <v>11.1658848753467</v>
      </c>
      <c r="F18" s="7">
        <v>0.0724888264552241</v>
      </c>
      <c r="G18" s="7">
        <v>0.0785257491823084</v>
      </c>
      <c r="H18" s="8">
        <f t="shared" ref="E18:S18" si="1">_xlfn.STDEV.P(H3:H17)</f>
        <v>20.3354961183875</v>
      </c>
      <c r="I18" s="8">
        <f t="shared" si="1"/>
        <v>13.9013891049643</v>
      </c>
      <c r="J18" s="8">
        <f t="shared" si="1"/>
        <v>0.0773243016072413</v>
      </c>
      <c r="K18" s="8">
        <f t="shared" si="1"/>
        <v>0.0876491925369592</v>
      </c>
      <c r="L18" s="8">
        <f t="shared" si="1"/>
        <v>22.7300010869249</v>
      </c>
      <c r="M18" s="8">
        <f t="shared" si="1"/>
        <v>14.3849895721461</v>
      </c>
      <c r="N18" s="8">
        <f t="shared" si="1"/>
        <v>0.108324021766919</v>
      </c>
      <c r="O18" s="8">
        <f t="shared" si="1"/>
        <v>0.197819207857223</v>
      </c>
      <c r="P18" s="8">
        <f t="shared" si="1"/>
        <v>13.5170421416676</v>
      </c>
      <c r="Q18" s="8">
        <f t="shared" si="1"/>
        <v>7.69896520654685</v>
      </c>
      <c r="R18" s="8">
        <f t="shared" si="1"/>
        <v>0.0461282766290039</v>
      </c>
      <c r="S18" s="8">
        <f t="shared" si="1"/>
        <v>0.0800332157235208</v>
      </c>
    </row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</sheetData>
  <mergeCells count="9">
    <mergeCell ref="D1:G1"/>
    <mergeCell ref="H1:K1"/>
    <mergeCell ref="L1:O1"/>
    <mergeCell ref="P1:S1"/>
    <mergeCell ref="A17:C17"/>
    <mergeCell ref="A18:C18"/>
    <mergeCell ref="A1:A2"/>
    <mergeCell ref="B1:B2"/>
    <mergeCell ref="C1:C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zoomScale="130" zoomScaleNormal="130" workbookViewId="0">
      <selection activeCell="D3" sqref="D3:G18"/>
    </sheetView>
  </sheetViews>
  <sheetFormatPr defaultColWidth="8.875" defaultRowHeight="13.5"/>
  <cols>
    <col min="1" max="1" width="8.625" style="4" customWidth="1"/>
    <col min="2" max="2" width="9.625" style="4" customWidth="1"/>
    <col min="3" max="3" width="15.5" style="4" customWidth="1"/>
    <col min="4" max="11" width="7.625" style="4" customWidth="1"/>
    <col min="12" max="12" width="8.5" style="4" customWidth="1"/>
    <col min="13" max="13" width="8.75" style="4" customWidth="1"/>
    <col min="14" max="15" width="7.625" style="4" customWidth="1"/>
    <col min="16" max="16" width="8.5" style="4" customWidth="1"/>
    <col min="17" max="17" width="8.75" style="4" customWidth="1"/>
    <col min="18" max="19" width="7.625" style="4" customWidth="1"/>
  </cols>
  <sheetData>
    <row r="1" spans="1:19">
      <c r="A1" s="4" t="s">
        <v>242</v>
      </c>
      <c r="B1" s="4" t="s">
        <v>243</v>
      </c>
      <c r="C1" s="4" t="s">
        <v>244</v>
      </c>
      <c r="D1" s="4" t="s">
        <v>291</v>
      </c>
      <c r="H1" s="4" t="s">
        <v>292</v>
      </c>
      <c r="L1" s="4" t="s">
        <v>295</v>
      </c>
      <c r="P1" s="10" t="s">
        <v>294</v>
      </c>
    </row>
    <row r="2" spans="1:19">
      <c r="D2" s="5" t="s">
        <v>257</v>
      </c>
      <c r="E2" s="5" t="s">
        <v>258</v>
      </c>
      <c r="F2" s="5" t="s">
        <v>259</v>
      </c>
      <c r="G2" s="5" t="s">
        <v>260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257</v>
      </c>
      <c r="M2" s="5" t="s">
        <v>258</v>
      </c>
      <c r="N2" s="5" t="s">
        <v>259</v>
      </c>
      <c r="O2" s="5" t="s">
        <v>260</v>
      </c>
      <c r="P2" s="5" t="s">
        <v>257</v>
      </c>
      <c r="Q2" s="5" t="s">
        <v>258</v>
      </c>
      <c r="R2" s="5" t="s">
        <v>259</v>
      </c>
      <c r="S2" s="5" t="s">
        <v>260</v>
      </c>
    </row>
    <row r="3" spans="1:19">
      <c r="A3" s="19" t="s">
        <v>197</v>
      </c>
      <c r="B3" s="6">
        <v>303</v>
      </c>
      <c r="C3" s="6" t="s">
        <v>277</v>
      </c>
      <c r="D3" s="7">
        <v>32.1128756290339</v>
      </c>
      <c r="E3" s="7">
        <v>20.0920076419968</v>
      </c>
      <c r="F3" s="7">
        <v>0.137329435246112</v>
      </c>
      <c r="G3" s="7">
        <v>0.940127051948355</v>
      </c>
      <c r="H3" s="8">
        <v>41.39</v>
      </c>
      <c r="I3" s="8">
        <v>25.96</v>
      </c>
      <c r="J3" s="8">
        <v>0.15</v>
      </c>
      <c r="K3" s="8">
        <v>0.84</v>
      </c>
      <c r="L3" s="8">
        <v>69.6962</v>
      </c>
      <c r="M3" s="8">
        <v>49.6781</v>
      </c>
      <c r="N3" s="8">
        <v>0.2576</v>
      </c>
      <c r="O3" s="8">
        <v>0.6806</v>
      </c>
      <c r="P3" s="8">
        <v>30.5933</v>
      </c>
      <c r="Q3" s="8">
        <v>20.2673</v>
      </c>
      <c r="R3" s="8">
        <v>0.1397</v>
      </c>
      <c r="S3" s="8">
        <v>0.9187</v>
      </c>
    </row>
    <row r="4" spans="1:19">
      <c r="A4" s="19" t="s">
        <v>204</v>
      </c>
      <c r="B4" s="6">
        <v>307</v>
      </c>
      <c r="C4" s="6" t="s">
        <v>278</v>
      </c>
      <c r="D4" s="7">
        <v>37.0920269853065</v>
      </c>
      <c r="E4" s="7">
        <v>17.0251421234512</v>
      </c>
      <c r="F4" s="7">
        <v>0.210716476789341</v>
      </c>
      <c r="G4" s="7">
        <v>0.92616022958977</v>
      </c>
      <c r="H4" s="8">
        <v>67.86</v>
      </c>
      <c r="I4" s="8">
        <v>29.28</v>
      </c>
      <c r="J4" s="8">
        <v>0.62</v>
      </c>
      <c r="K4" s="8">
        <v>0.66</v>
      </c>
      <c r="L4" s="8">
        <v>83.3146</v>
      </c>
      <c r="M4" s="8">
        <v>47.4143</v>
      </c>
      <c r="N4" s="8">
        <v>0.622</v>
      </c>
      <c r="O4" s="8">
        <v>0.6069</v>
      </c>
      <c r="P4" s="8">
        <v>68.0652</v>
      </c>
      <c r="Q4" s="8">
        <v>36.293</v>
      </c>
      <c r="R4" s="8">
        <v>0.5504</v>
      </c>
      <c r="S4" s="8">
        <v>0.6914</v>
      </c>
    </row>
    <row r="5" spans="1:19">
      <c r="A5" s="19" t="s">
        <v>207</v>
      </c>
      <c r="B5" s="6">
        <v>291</v>
      </c>
      <c r="C5" s="6" t="s">
        <v>279</v>
      </c>
      <c r="D5" s="7">
        <v>33.9217898305668</v>
      </c>
      <c r="E5" s="7">
        <v>16.7955144570005</v>
      </c>
      <c r="F5" s="7">
        <v>0.175823667608585</v>
      </c>
      <c r="G5" s="7">
        <v>0.940767452398734</v>
      </c>
      <c r="H5" s="8">
        <v>57.33</v>
      </c>
      <c r="I5" s="8">
        <v>22.03</v>
      </c>
      <c r="J5" s="8">
        <v>0.44</v>
      </c>
      <c r="K5" s="8">
        <v>0.74</v>
      </c>
      <c r="L5" s="8">
        <v>78.3554</v>
      </c>
      <c r="M5" s="8">
        <v>49.2019</v>
      </c>
      <c r="N5" s="8">
        <v>0.6023</v>
      </c>
      <c r="O5" s="8">
        <v>0.6934</v>
      </c>
      <c r="P5" s="8">
        <v>61.0234</v>
      </c>
      <c r="Q5" s="8">
        <v>28.2717</v>
      </c>
      <c r="R5" s="8">
        <v>0.4293</v>
      </c>
      <c r="S5" s="8">
        <v>0.7324</v>
      </c>
    </row>
    <row r="6" spans="1:19">
      <c r="A6" s="19" t="s">
        <v>208</v>
      </c>
      <c r="B6" s="6">
        <v>380</v>
      </c>
      <c r="C6" s="6" t="s">
        <v>280</v>
      </c>
      <c r="D6" s="7">
        <v>28.7137097061649</v>
      </c>
      <c r="E6" s="7">
        <v>16.1463064211087</v>
      </c>
      <c r="F6" s="7">
        <v>0.112542512988948</v>
      </c>
      <c r="G6" s="7">
        <v>0.933204700042314</v>
      </c>
      <c r="H6" s="8">
        <v>44.55</v>
      </c>
      <c r="I6" s="8">
        <v>20.24</v>
      </c>
      <c r="J6" s="8">
        <v>0.18</v>
      </c>
      <c r="K6" s="8">
        <v>0.77</v>
      </c>
      <c r="L6" s="8">
        <v>60.0302</v>
      </c>
      <c r="M6" s="8">
        <v>37.0215</v>
      </c>
      <c r="N6" s="8">
        <v>0.2599</v>
      </c>
      <c r="O6" s="8">
        <v>0.7294</v>
      </c>
      <c r="P6" s="8">
        <v>40.3741</v>
      </c>
      <c r="Q6" s="8">
        <v>19.2908</v>
      </c>
      <c r="R6" s="8">
        <v>0.1959</v>
      </c>
      <c r="S6" s="8">
        <v>0.8408</v>
      </c>
    </row>
    <row r="7" spans="1:19">
      <c r="A7" s="19" t="s">
        <v>210</v>
      </c>
      <c r="B7" s="6">
        <v>127</v>
      </c>
      <c r="C7" s="6" t="s">
        <v>281</v>
      </c>
      <c r="D7" s="7">
        <v>33.9258740268022</v>
      </c>
      <c r="E7" s="7">
        <v>17.2201337899097</v>
      </c>
      <c r="F7" s="7">
        <v>0.170812737253961</v>
      </c>
      <c r="G7" s="7">
        <v>0.621693500252094</v>
      </c>
      <c r="H7" s="8">
        <v>27.28</v>
      </c>
      <c r="I7" s="8">
        <v>15.7</v>
      </c>
      <c r="J7" s="8">
        <v>0.17</v>
      </c>
      <c r="K7" s="8">
        <v>0.77</v>
      </c>
      <c r="L7" s="8">
        <v>46.0314</v>
      </c>
      <c r="M7" s="8">
        <v>34.1624</v>
      </c>
      <c r="N7" s="8">
        <v>0.3572</v>
      </c>
      <c r="O7" s="8">
        <v>0.5762</v>
      </c>
      <c r="P7" s="8">
        <v>25.7791</v>
      </c>
      <c r="Q7" s="8">
        <v>18.0633</v>
      </c>
      <c r="R7" s="8">
        <v>0.2037</v>
      </c>
      <c r="S7" s="8">
        <v>0.8287</v>
      </c>
    </row>
    <row r="8" spans="1:19">
      <c r="A8" s="19" t="s">
        <v>220</v>
      </c>
      <c r="B8" s="6">
        <v>72</v>
      </c>
      <c r="C8" s="6" t="s">
        <v>282</v>
      </c>
      <c r="D8" s="7">
        <v>63.463565777981</v>
      </c>
      <c r="E8" s="7">
        <v>49.5887328882092</v>
      </c>
      <c r="F8" s="7">
        <v>0.328694832685444</v>
      </c>
      <c r="G8" s="7">
        <v>0.577510827965887</v>
      </c>
      <c r="H8" s="8">
        <v>56.86</v>
      </c>
      <c r="I8" s="8">
        <v>40.71</v>
      </c>
      <c r="J8" s="8">
        <v>0.32</v>
      </c>
      <c r="K8" s="8">
        <v>0.33</v>
      </c>
      <c r="L8" s="8">
        <v>77.9847</v>
      </c>
      <c r="M8" s="8">
        <v>48.1879</v>
      </c>
      <c r="N8" s="8">
        <v>0.3647</v>
      </c>
      <c r="O8" s="8">
        <v>-0.0345</v>
      </c>
      <c r="P8" s="8">
        <v>52.8607</v>
      </c>
      <c r="Q8" s="8">
        <v>44.7103</v>
      </c>
      <c r="R8" s="8">
        <v>0.2998</v>
      </c>
      <c r="S8" s="8">
        <v>0.4921</v>
      </c>
    </row>
    <row r="9" spans="1:19">
      <c r="A9" s="19" t="s">
        <v>223</v>
      </c>
      <c r="B9" s="6">
        <v>74</v>
      </c>
      <c r="C9" s="6" t="s">
        <v>283</v>
      </c>
      <c r="D9" s="7">
        <v>12.2678356216481</v>
      </c>
      <c r="E9" s="7">
        <v>6.03057579195008</v>
      </c>
      <c r="F9" s="7">
        <v>0.0876991716049259</v>
      </c>
      <c r="G9" s="7">
        <v>0.677449700232667</v>
      </c>
      <c r="H9" s="8">
        <v>11.45</v>
      </c>
      <c r="I9" s="8">
        <v>6.89</v>
      </c>
      <c r="J9" s="8">
        <v>0.08</v>
      </c>
      <c r="K9" s="8">
        <v>-0.05</v>
      </c>
      <c r="L9" s="8">
        <v>39.4638</v>
      </c>
      <c r="M9" s="8">
        <v>34.1751</v>
      </c>
      <c r="N9" s="8">
        <v>0.2969</v>
      </c>
      <c r="O9" s="8">
        <v>-2.1259</v>
      </c>
      <c r="P9" s="8">
        <v>15.8997</v>
      </c>
      <c r="Q9" s="8">
        <v>11.2477</v>
      </c>
      <c r="R9" s="8">
        <v>0.1145</v>
      </c>
      <c r="S9" s="8">
        <v>-0.4942</v>
      </c>
    </row>
    <row r="10" spans="1:19">
      <c r="A10" s="19" t="s">
        <v>231</v>
      </c>
      <c r="B10" s="6">
        <v>54</v>
      </c>
      <c r="C10" s="6" t="s">
        <v>284</v>
      </c>
      <c r="D10" s="7">
        <v>61.4299210730023</v>
      </c>
      <c r="E10" s="7">
        <v>28.7371067584847</v>
      </c>
      <c r="F10" s="7">
        <v>0.256345391043289</v>
      </c>
      <c r="G10" s="7">
        <v>0.808884181677394</v>
      </c>
      <c r="H10" s="8">
        <v>72.18</v>
      </c>
      <c r="I10" s="8">
        <v>55.06</v>
      </c>
      <c r="J10" s="8">
        <v>0.15</v>
      </c>
      <c r="K10" s="8">
        <v>0.56</v>
      </c>
      <c r="L10" s="8">
        <v>166.993</v>
      </c>
      <c r="M10" s="8">
        <v>118.5716</v>
      </c>
      <c r="N10" s="8">
        <v>0.2901</v>
      </c>
      <c r="O10" s="8">
        <v>-0.1669</v>
      </c>
      <c r="P10" s="8">
        <v>89.7725</v>
      </c>
      <c r="Q10" s="8">
        <v>56.6706</v>
      </c>
      <c r="R10" s="8">
        <v>0.2342</v>
      </c>
      <c r="S10" s="8">
        <v>0.3445</v>
      </c>
    </row>
    <row r="11" spans="1:19">
      <c r="A11" s="19" t="s">
        <v>234</v>
      </c>
      <c r="B11" s="6">
        <v>59</v>
      </c>
      <c r="C11" s="6" t="s">
        <v>285</v>
      </c>
      <c r="D11" s="7">
        <v>66.7906687225068</v>
      </c>
      <c r="E11" s="7">
        <v>36.3969928897803</v>
      </c>
      <c r="F11" s="7">
        <v>0.203499679569269</v>
      </c>
      <c r="G11" s="7">
        <v>0.840554404158299</v>
      </c>
      <c r="H11" s="8">
        <v>54.35</v>
      </c>
      <c r="I11" s="8">
        <v>33.08</v>
      </c>
      <c r="J11" s="8">
        <v>0.11</v>
      </c>
      <c r="K11" s="8">
        <v>0.86</v>
      </c>
      <c r="L11" s="8">
        <v>181.4252</v>
      </c>
      <c r="M11" s="8">
        <v>142.7695</v>
      </c>
      <c r="N11" s="8">
        <v>0.307</v>
      </c>
      <c r="O11" s="8">
        <v>-0.1555</v>
      </c>
      <c r="P11" s="8">
        <v>96.3307</v>
      </c>
      <c r="Q11" s="8">
        <v>61.3408</v>
      </c>
      <c r="R11" s="8">
        <v>0.2368</v>
      </c>
      <c r="S11" s="8">
        <v>0.4292</v>
      </c>
    </row>
    <row r="12" spans="1:19">
      <c r="A12" s="19" t="s">
        <v>236</v>
      </c>
      <c r="B12" s="6">
        <v>58</v>
      </c>
      <c r="C12" s="6" t="s">
        <v>286</v>
      </c>
      <c r="D12" s="7">
        <v>63.0897014804951</v>
      </c>
      <c r="E12" s="7">
        <v>43.0765375317825</v>
      </c>
      <c r="F12" s="7">
        <v>0.184589800696262</v>
      </c>
      <c r="G12" s="7">
        <v>0.891166885696923</v>
      </c>
      <c r="H12" s="8">
        <v>51.81</v>
      </c>
      <c r="I12" s="8">
        <v>35.08</v>
      </c>
      <c r="J12" s="8">
        <v>0.11</v>
      </c>
      <c r="K12" s="8">
        <v>0.7</v>
      </c>
      <c r="L12" s="8">
        <v>161.0531</v>
      </c>
      <c r="M12" s="8">
        <v>102.3582</v>
      </c>
      <c r="N12" s="8">
        <v>0.2592</v>
      </c>
      <c r="O12" s="8">
        <v>-0.0456</v>
      </c>
      <c r="P12" s="8">
        <v>88.0385</v>
      </c>
      <c r="Q12" s="8">
        <v>70.0507</v>
      </c>
      <c r="R12" s="8">
        <v>0.2083</v>
      </c>
      <c r="S12" s="8">
        <v>0.4043</v>
      </c>
    </row>
    <row r="13" spans="1:19">
      <c r="A13" s="19" t="s">
        <v>237</v>
      </c>
      <c r="B13" s="6">
        <v>59</v>
      </c>
      <c r="C13" s="6" t="s">
        <v>287</v>
      </c>
      <c r="D13" s="7">
        <v>70.572776310091</v>
      </c>
      <c r="E13" s="7">
        <v>43.5988515861249</v>
      </c>
      <c r="F13" s="7">
        <v>0.214549405738271</v>
      </c>
      <c r="G13" s="7">
        <v>0.831829721330745</v>
      </c>
      <c r="H13" s="8">
        <v>52.55</v>
      </c>
      <c r="I13" s="8">
        <v>29.26</v>
      </c>
      <c r="J13" s="8">
        <v>0.1</v>
      </c>
      <c r="K13" s="8">
        <v>0.87</v>
      </c>
      <c r="L13" s="8">
        <v>178.8568</v>
      </c>
      <c r="M13" s="8">
        <v>128.5722</v>
      </c>
      <c r="N13" s="8">
        <v>0.2876</v>
      </c>
      <c r="O13" s="8">
        <v>-0.1314</v>
      </c>
      <c r="P13" s="8">
        <v>84.1374</v>
      </c>
      <c r="Q13" s="8">
        <v>50.9284</v>
      </c>
      <c r="R13" s="8">
        <v>0.2065</v>
      </c>
      <c r="S13" s="8">
        <v>0.5376</v>
      </c>
    </row>
    <row r="14" spans="1:19">
      <c r="A14" s="19" t="s">
        <v>238</v>
      </c>
      <c r="B14" s="6">
        <v>59</v>
      </c>
      <c r="C14" s="6" t="s">
        <v>288</v>
      </c>
      <c r="D14" s="7">
        <v>54.0008652458824</v>
      </c>
      <c r="E14" s="7">
        <v>31.1200377388979</v>
      </c>
      <c r="F14" s="7">
        <v>0.191772660714364</v>
      </c>
      <c r="G14" s="7">
        <v>0.883375361478511</v>
      </c>
      <c r="H14" s="8">
        <v>55.71</v>
      </c>
      <c r="I14" s="8">
        <v>32.09</v>
      </c>
      <c r="J14" s="8">
        <v>0.11</v>
      </c>
      <c r="K14" s="8">
        <v>0.85</v>
      </c>
      <c r="L14" s="8">
        <v>177.1592</v>
      </c>
      <c r="M14" s="8">
        <v>128.6715</v>
      </c>
      <c r="N14" s="8">
        <v>0.284</v>
      </c>
      <c r="O14" s="8">
        <v>-0.1152</v>
      </c>
      <c r="P14" s="8">
        <v>86.6107</v>
      </c>
      <c r="Q14" s="8">
        <v>57.3501</v>
      </c>
      <c r="R14" s="8">
        <v>0.1933</v>
      </c>
      <c r="S14" s="8">
        <v>0.5549</v>
      </c>
    </row>
    <row r="15" spans="1:19">
      <c r="A15" s="19" t="s">
        <v>239</v>
      </c>
      <c r="B15" s="6">
        <v>58</v>
      </c>
      <c r="C15" s="6" t="s">
        <v>289</v>
      </c>
      <c r="D15" s="7">
        <v>56.7929053899285</v>
      </c>
      <c r="E15" s="7">
        <v>27.8667108951432</v>
      </c>
      <c r="F15" s="7">
        <v>0.184370195072289</v>
      </c>
      <c r="G15" s="7">
        <v>0.874855452650536</v>
      </c>
      <c r="H15" s="8">
        <v>54.31</v>
      </c>
      <c r="I15" s="8">
        <v>30.24</v>
      </c>
      <c r="J15" s="8">
        <v>0.11</v>
      </c>
      <c r="K15" s="8">
        <v>0.74</v>
      </c>
      <c r="L15" s="8">
        <v>162.7993</v>
      </c>
      <c r="M15" s="8">
        <v>111.7209</v>
      </c>
      <c r="N15" s="8">
        <v>0.2378</v>
      </c>
      <c r="O15" s="8">
        <v>-0.1211</v>
      </c>
      <c r="P15" s="8">
        <v>76.1105</v>
      </c>
      <c r="Q15" s="8">
        <v>58.6535</v>
      </c>
      <c r="R15" s="8">
        <v>0.1538</v>
      </c>
      <c r="S15" s="8">
        <v>0.4328</v>
      </c>
    </row>
    <row r="16" spans="1:19">
      <c r="A16" s="19" t="s">
        <v>241</v>
      </c>
      <c r="B16" s="6">
        <v>58</v>
      </c>
      <c r="C16" s="6" t="s">
        <v>290</v>
      </c>
      <c r="D16" s="7">
        <v>59.1080825753316</v>
      </c>
      <c r="E16" s="7">
        <v>32.8267614642412</v>
      </c>
      <c r="F16" s="7">
        <v>0.196977214962435</v>
      </c>
      <c r="G16" s="7">
        <v>0.879081758799406</v>
      </c>
      <c r="H16" s="8">
        <v>51.94</v>
      </c>
      <c r="I16" s="8">
        <v>27.86</v>
      </c>
      <c r="J16" s="8">
        <v>0.1</v>
      </c>
      <c r="K16" s="8">
        <v>0.76</v>
      </c>
      <c r="L16" s="8">
        <v>167.3802</v>
      </c>
      <c r="M16" s="8">
        <v>122.96</v>
      </c>
      <c r="N16" s="8">
        <v>0.2612</v>
      </c>
      <c r="O16" s="8">
        <v>-0.0927</v>
      </c>
      <c r="P16" s="8">
        <v>75.7348</v>
      </c>
      <c r="Q16" s="8">
        <v>58.152</v>
      </c>
      <c r="R16" s="8">
        <v>0.1766</v>
      </c>
      <c r="S16" s="8">
        <v>0.4809</v>
      </c>
    </row>
    <row r="17" spans="1:19">
      <c r="A17" s="9" t="s">
        <v>275</v>
      </c>
      <c r="B17" s="9"/>
      <c r="C17" s="9"/>
      <c r="D17" s="7">
        <v>48.0916141696244</v>
      </c>
      <c r="E17" s="7">
        <v>27.6086722841486</v>
      </c>
      <c r="F17" s="7">
        <v>0.189694512998107</v>
      </c>
      <c r="G17" s="7">
        <v>0.830475802015831</v>
      </c>
      <c r="H17" s="8">
        <f t="shared" ref="D17:S17" si="0">AVERAGE(H3:H16)</f>
        <v>49.9692857142857</v>
      </c>
      <c r="I17" s="8">
        <f t="shared" si="0"/>
        <v>28.82</v>
      </c>
      <c r="J17" s="8">
        <f t="shared" si="0"/>
        <v>0.196428571428571</v>
      </c>
      <c r="K17" s="8">
        <f t="shared" si="0"/>
        <v>0.671428571428571</v>
      </c>
      <c r="L17" s="8">
        <f t="shared" si="0"/>
        <v>117.895935714286</v>
      </c>
      <c r="M17" s="8">
        <f t="shared" si="0"/>
        <v>82.5332214285714</v>
      </c>
      <c r="N17" s="8">
        <f t="shared" si="0"/>
        <v>0.334821428571428</v>
      </c>
      <c r="O17" s="8">
        <f t="shared" si="0"/>
        <v>0.0212642857142857</v>
      </c>
      <c r="P17" s="8">
        <f t="shared" si="0"/>
        <v>63.6664714285714</v>
      </c>
      <c r="Q17" s="8">
        <f t="shared" si="0"/>
        <v>42.2350142857143</v>
      </c>
      <c r="R17" s="8">
        <f t="shared" si="0"/>
        <v>0.238771428571429</v>
      </c>
      <c r="S17" s="8">
        <f t="shared" si="0"/>
        <v>0.513864285714286</v>
      </c>
    </row>
    <row r="18" spans="1:19">
      <c r="A18" s="9" t="s">
        <v>276</v>
      </c>
      <c r="B18" s="9"/>
      <c r="C18" s="9"/>
      <c r="D18" s="7">
        <v>20.6105362924688</v>
      </c>
      <c r="E18" s="7">
        <v>15.3066652077033</v>
      </c>
      <c r="F18" s="7">
        <v>0.070102219826838</v>
      </c>
      <c r="G18" s="7">
        <v>0.14922948656414</v>
      </c>
      <c r="H18" s="8">
        <f t="shared" ref="D18:S18" si="1">_xlfn.STDEV.P(H3:H16)</f>
        <v>14.8840463316963</v>
      </c>
      <c r="I18" s="8">
        <f t="shared" si="1"/>
        <v>10.9617529880685</v>
      </c>
      <c r="J18" s="8">
        <f t="shared" si="1"/>
        <v>0.151497625764383</v>
      </c>
      <c r="K18" s="8">
        <f t="shared" si="1"/>
        <v>0.242365047658549</v>
      </c>
      <c r="L18" s="8">
        <f t="shared" si="1"/>
        <v>54.3417721167823</v>
      </c>
      <c r="M18" s="8">
        <f t="shared" si="1"/>
        <v>40.8898466831521</v>
      </c>
      <c r="N18" s="8">
        <f t="shared" si="1"/>
        <v>0.118491363028049</v>
      </c>
      <c r="O18" s="8">
        <f t="shared" si="1"/>
        <v>0.696860292010983</v>
      </c>
      <c r="P18" s="8">
        <f t="shared" si="1"/>
        <v>25.4741510624125</v>
      </c>
      <c r="Q18" s="8">
        <f t="shared" si="1"/>
        <v>18.8300652650359</v>
      </c>
      <c r="R18" s="8">
        <f t="shared" si="1"/>
        <v>0.113582037240373</v>
      </c>
      <c r="S18" s="8">
        <f t="shared" si="1"/>
        <v>0.329892464312545</v>
      </c>
    </row>
  </sheetData>
  <mergeCells count="9">
    <mergeCell ref="D1:G1"/>
    <mergeCell ref="H1:K1"/>
    <mergeCell ref="L1:O1"/>
    <mergeCell ref="P1:S1"/>
    <mergeCell ref="A17:C17"/>
    <mergeCell ref="A18:C18"/>
    <mergeCell ref="A1:A2"/>
    <mergeCell ref="B1:B2"/>
    <mergeCell ref="C1:C2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zoomScale="115" zoomScaleNormal="115" workbookViewId="0">
      <selection activeCell="D3" sqref="D3:G18"/>
    </sheetView>
  </sheetViews>
  <sheetFormatPr defaultColWidth="8.875" defaultRowHeight="13.5"/>
  <cols>
    <col min="1" max="1" width="8.625" style="4" customWidth="1"/>
    <col min="2" max="2" width="9.625" style="4" customWidth="1"/>
    <col min="3" max="3" width="15.5" style="4" customWidth="1"/>
    <col min="4" max="11" width="7.625" style="4" customWidth="1"/>
    <col min="12" max="12" width="8.5" style="4" customWidth="1"/>
    <col min="13" max="13" width="8.75" style="4" customWidth="1"/>
    <col min="14" max="19" width="7.625" style="4" customWidth="1"/>
  </cols>
  <sheetData>
    <row r="1" spans="1:19">
      <c r="A1" s="4" t="s">
        <v>242</v>
      </c>
      <c r="B1" s="4" t="s">
        <v>243</v>
      </c>
      <c r="C1" s="4" t="s">
        <v>244</v>
      </c>
      <c r="D1" s="4" t="s">
        <v>291</v>
      </c>
      <c r="H1" s="4" t="s">
        <v>296</v>
      </c>
      <c r="L1" s="4" t="s">
        <v>297</v>
      </c>
      <c r="P1" s="4" t="s">
        <v>298</v>
      </c>
    </row>
    <row r="2" spans="1:19">
      <c r="D2" s="5" t="s">
        <v>257</v>
      </c>
      <c r="E2" s="5" t="s">
        <v>258</v>
      </c>
      <c r="F2" s="5" t="s">
        <v>259</v>
      </c>
      <c r="G2" s="5" t="s">
        <v>260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257</v>
      </c>
      <c r="M2" s="5" t="s">
        <v>258</v>
      </c>
      <c r="N2" s="5" t="s">
        <v>259</v>
      </c>
      <c r="O2" s="5" t="s">
        <v>260</v>
      </c>
      <c r="P2" s="5" t="s">
        <v>257</v>
      </c>
      <c r="Q2" s="5" t="s">
        <v>258</v>
      </c>
      <c r="R2" s="5" t="s">
        <v>259</v>
      </c>
      <c r="S2" s="5" t="s">
        <v>260</v>
      </c>
    </row>
    <row r="3" spans="1:19">
      <c r="A3" s="19" t="s">
        <v>194</v>
      </c>
      <c r="B3" s="6">
        <v>364</v>
      </c>
      <c r="C3" s="6" t="s">
        <v>261</v>
      </c>
      <c r="D3" s="7">
        <v>55.847681743179</v>
      </c>
      <c r="E3" s="7">
        <v>32.8168287031629</v>
      </c>
      <c r="F3" s="7">
        <v>0.187719465101248</v>
      </c>
      <c r="G3" s="7">
        <v>0.844399002508424</v>
      </c>
      <c r="H3" s="8">
        <v>74.8544509389232</v>
      </c>
      <c r="I3" s="8">
        <v>61.7040970485319</v>
      </c>
      <c r="J3" s="8">
        <v>0.217167588490577</v>
      </c>
      <c r="K3" s="8">
        <v>0.768135801306328</v>
      </c>
      <c r="L3" s="8">
        <v>53.6041474312273</v>
      </c>
      <c r="M3" s="8">
        <v>39.0550342938394</v>
      </c>
      <c r="N3" s="8">
        <v>0.14544184409989</v>
      </c>
      <c r="O3" s="8">
        <v>0.867551865338458</v>
      </c>
      <c r="P3" s="8">
        <v>50.2044986769934</v>
      </c>
      <c r="Q3" s="8">
        <v>33.1193058932631</v>
      </c>
      <c r="R3" s="8">
        <v>0.134490435937545</v>
      </c>
      <c r="S3" s="8">
        <v>0.874636879877179</v>
      </c>
    </row>
    <row r="4" spans="1:19">
      <c r="A4" s="19" t="s">
        <v>199</v>
      </c>
      <c r="B4" s="6">
        <v>136</v>
      </c>
      <c r="C4" s="6" t="s">
        <v>262</v>
      </c>
      <c r="D4" s="7">
        <v>54.3805247180023</v>
      </c>
      <c r="E4" s="7">
        <v>36.6313035422818</v>
      </c>
      <c r="F4" s="7">
        <v>0.115682411283287</v>
      </c>
      <c r="G4" s="7">
        <v>0.868034256738521</v>
      </c>
      <c r="H4" s="8">
        <v>78.0041743049711</v>
      </c>
      <c r="I4" s="8">
        <v>56.7732981323152</v>
      </c>
      <c r="J4" s="8">
        <v>0.137736780591881</v>
      </c>
      <c r="K4" s="8">
        <v>0.856405170779835</v>
      </c>
      <c r="L4" s="8">
        <v>109.792114737354</v>
      </c>
      <c r="M4" s="8">
        <v>62.0656096120432</v>
      </c>
      <c r="N4" s="8">
        <v>0.198538557401457</v>
      </c>
      <c r="O4" s="8">
        <v>0.730010178194211</v>
      </c>
      <c r="P4" s="8">
        <v>72.2341587598244</v>
      </c>
      <c r="Q4" s="8">
        <v>34.0968507116918</v>
      </c>
      <c r="R4" s="8">
        <v>0.123819954533133</v>
      </c>
      <c r="S4" s="8">
        <v>0.860854563597638</v>
      </c>
    </row>
    <row r="5" spans="1:19">
      <c r="A5" s="19" t="s">
        <v>201</v>
      </c>
      <c r="B5" s="6">
        <v>402</v>
      </c>
      <c r="C5" s="6" t="s">
        <v>263</v>
      </c>
      <c r="D5" s="7">
        <v>14.4970473060223</v>
      </c>
      <c r="E5" s="7">
        <v>7.87584980374195</v>
      </c>
      <c r="F5" s="7">
        <v>0.0783371878556169</v>
      </c>
      <c r="G5" s="7">
        <v>0.966356197358779</v>
      </c>
      <c r="H5" s="8">
        <v>24.6879902599216</v>
      </c>
      <c r="I5" s="8">
        <v>12.4427644583291</v>
      </c>
      <c r="J5" s="8">
        <v>0.166212047533365</v>
      </c>
      <c r="K5" s="8">
        <v>0.961933674300972</v>
      </c>
      <c r="L5" s="8">
        <v>15.4953522168451</v>
      </c>
      <c r="M5" s="8">
        <v>9.69076188726902</v>
      </c>
      <c r="N5" s="8">
        <v>0.139202647704437</v>
      </c>
      <c r="O5" s="8">
        <v>0.985820735365842</v>
      </c>
      <c r="P5" s="8">
        <v>16.969412495375</v>
      </c>
      <c r="Q5" s="8">
        <v>8.61539657344187</v>
      </c>
      <c r="R5" s="8">
        <v>0.0892432657310429</v>
      </c>
      <c r="S5" s="8">
        <v>0.967053328966335</v>
      </c>
    </row>
    <row r="6" spans="1:19">
      <c r="A6" s="19" t="s">
        <v>203</v>
      </c>
      <c r="B6" s="6">
        <v>361</v>
      </c>
      <c r="C6" s="6" t="s">
        <v>264</v>
      </c>
      <c r="D6" s="7">
        <v>13.15800844922</v>
      </c>
      <c r="E6" s="7">
        <v>7.57657468293643</v>
      </c>
      <c r="F6" s="7">
        <v>0.0743372183996275</v>
      </c>
      <c r="G6" s="7">
        <v>0.979114628896535</v>
      </c>
      <c r="H6" s="8">
        <v>29.4706947839263</v>
      </c>
      <c r="I6" s="8">
        <v>15.6391016980132</v>
      </c>
      <c r="J6" s="8">
        <v>0.18384729032205</v>
      </c>
      <c r="K6" s="8">
        <v>0.901936988725545</v>
      </c>
      <c r="L6" s="8">
        <v>27.9951142978166</v>
      </c>
      <c r="M6" s="8">
        <v>20.6815376825706</v>
      </c>
      <c r="N6" s="8">
        <v>0.219014505903384</v>
      </c>
      <c r="O6" s="8">
        <v>0.902730395976441</v>
      </c>
      <c r="P6" s="8">
        <v>24.9925059689354</v>
      </c>
      <c r="Q6" s="8">
        <v>11.986832782729</v>
      </c>
      <c r="R6" s="8">
        <v>0.175874759019103</v>
      </c>
      <c r="S6" s="8">
        <v>0.911509113801022</v>
      </c>
    </row>
    <row r="7" spans="1:19">
      <c r="A7" s="19" t="s">
        <v>212</v>
      </c>
      <c r="B7" s="6">
        <v>132</v>
      </c>
      <c r="C7" s="6" t="s">
        <v>265</v>
      </c>
      <c r="D7" s="7">
        <v>7.98628584624644</v>
      </c>
      <c r="E7" s="7">
        <v>4.58096662507575</v>
      </c>
      <c r="F7" s="7">
        <v>0.0458692357188662</v>
      </c>
      <c r="G7" s="7">
        <v>0.994175800411816</v>
      </c>
      <c r="H7" s="8">
        <v>15.8194623052485</v>
      </c>
      <c r="I7" s="8">
        <v>11.0046861779631</v>
      </c>
      <c r="J7" s="8">
        <v>0.11941643421973</v>
      </c>
      <c r="K7" s="8">
        <v>0.980439661118304</v>
      </c>
      <c r="L7" s="8">
        <v>19.8367565057657</v>
      </c>
      <c r="M7" s="8">
        <v>16.072901158596</v>
      </c>
      <c r="N7" s="8">
        <v>0.15163996232507</v>
      </c>
      <c r="O7" s="8">
        <v>0.973245419420401</v>
      </c>
      <c r="P7" s="8">
        <v>14.0969420373821</v>
      </c>
      <c r="Q7" s="8">
        <v>6.35938735617577</v>
      </c>
      <c r="R7" s="8">
        <v>0.11339688093594</v>
      </c>
      <c r="S7" s="8">
        <v>0.97736455488896</v>
      </c>
    </row>
    <row r="8" spans="1:19">
      <c r="A8" s="19" t="s">
        <v>214</v>
      </c>
      <c r="B8" s="6">
        <v>135</v>
      </c>
      <c r="C8" s="6" t="s">
        <v>266</v>
      </c>
      <c r="D8" s="7">
        <v>15.7463360786014</v>
      </c>
      <c r="E8" s="7">
        <v>7.68643590279365</v>
      </c>
      <c r="F8" s="7">
        <v>0.0954450819336698</v>
      </c>
      <c r="G8" s="7">
        <v>0.925984070245577</v>
      </c>
      <c r="H8" s="8">
        <v>29.5305627371184</v>
      </c>
      <c r="I8" s="8">
        <v>21.6730929259299</v>
      </c>
      <c r="J8" s="8">
        <v>0.230752642699655</v>
      </c>
      <c r="K8" s="8">
        <v>0.960901223254806</v>
      </c>
      <c r="L8" s="8">
        <v>21.1068626908901</v>
      </c>
      <c r="M8" s="8">
        <v>10.2520936772689</v>
      </c>
      <c r="N8" s="8">
        <v>0.188665572744354</v>
      </c>
      <c r="O8" s="8">
        <v>0.971973571163869</v>
      </c>
      <c r="P8" s="8">
        <v>22.4037785973703</v>
      </c>
      <c r="Q8" s="8">
        <v>11.5626702082795</v>
      </c>
      <c r="R8" s="8">
        <v>0.152938899406405</v>
      </c>
      <c r="S8" s="8">
        <v>0.970347445380264</v>
      </c>
    </row>
    <row r="9" spans="1:19">
      <c r="A9" s="19" t="s">
        <v>215</v>
      </c>
      <c r="B9" s="6">
        <v>663</v>
      </c>
      <c r="C9" s="6" t="s">
        <v>267</v>
      </c>
      <c r="D9" s="7">
        <v>29.4084262518663</v>
      </c>
      <c r="E9" s="7">
        <v>9.57582331903823</v>
      </c>
      <c r="F9" s="7">
        <v>0.147681836696695</v>
      </c>
      <c r="G9" s="7">
        <v>0.928322293605352</v>
      </c>
      <c r="H9" s="8">
        <v>41.0565126030132</v>
      </c>
      <c r="I9" s="8">
        <v>26.8490654375584</v>
      </c>
      <c r="J9" s="8">
        <v>0.0835775383860513</v>
      </c>
      <c r="K9" s="8">
        <v>0.512703702327433</v>
      </c>
      <c r="L9" s="8">
        <v>36.7050189642002</v>
      </c>
      <c r="M9" s="8">
        <v>20.7433829134076</v>
      </c>
      <c r="N9" s="8">
        <v>0.0706354390981652</v>
      </c>
      <c r="O9" s="8">
        <v>0.535320137383062</v>
      </c>
      <c r="P9" s="8">
        <v>34.7238922697268</v>
      </c>
      <c r="Q9" s="8">
        <v>21.3599904981888</v>
      </c>
      <c r="R9" s="8">
        <v>0.0691378721516565</v>
      </c>
      <c r="S9" s="8">
        <v>0.581171970159067</v>
      </c>
    </row>
    <row r="10" spans="1:19">
      <c r="A10" s="19" t="s">
        <v>217</v>
      </c>
      <c r="B10" s="6">
        <v>110</v>
      </c>
      <c r="C10" s="6" t="s">
        <v>268</v>
      </c>
      <c r="D10" s="7">
        <v>10.5018130259681</v>
      </c>
      <c r="E10" s="7">
        <v>3.54262475146637</v>
      </c>
      <c r="F10" s="7">
        <v>0.0882880863701327</v>
      </c>
      <c r="G10" s="7">
        <v>0.967469515125277</v>
      </c>
      <c r="H10" s="8">
        <v>68.3342080360526</v>
      </c>
      <c r="I10" s="8">
        <v>50.1575378424134</v>
      </c>
      <c r="J10" s="8">
        <v>0.18504658446845</v>
      </c>
      <c r="K10" s="8">
        <v>0.574885387833713</v>
      </c>
      <c r="L10" s="8">
        <v>71.8352298252808</v>
      </c>
      <c r="M10" s="8">
        <v>56.1612443234973</v>
      </c>
      <c r="N10" s="8">
        <v>0.142097313814812</v>
      </c>
      <c r="O10" s="8">
        <v>0.559300848272347</v>
      </c>
      <c r="P10" s="8">
        <v>36.5817779234553</v>
      </c>
      <c r="Q10" s="8">
        <v>25.0489584369032</v>
      </c>
      <c r="R10" s="8">
        <v>0.0700537123216419</v>
      </c>
      <c r="S10" s="8">
        <v>0.876422209412114</v>
      </c>
    </row>
    <row r="11" spans="1:19">
      <c r="A11" s="19" t="s">
        <v>218</v>
      </c>
      <c r="B11" s="6">
        <v>235</v>
      </c>
      <c r="C11" s="6" t="s">
        <v>269</v>
      </c>
      <c r="D11" s="7">
        <v>19.8886795494393</v>
      </c>
      <c r="E11" s="7">
        <v>12.057597300768</v>
      </c>
      <c r="F11" s="7">
        <v>0.103714136576093</v>
      </c>
      <c r="G11" s="7">
        <v>0.965902063006602</v>
      </c>
      <c r="H11" s="8">
        <v>34.5609774741975</v>
      </c>
      <c r="I11" s="8">
        <v>26.9566230765591</v>
      </c>
      <c r="J11" s="8">
        <v>0.556197181833498</v>
      </c>
      <c r="K11" s="8">
        <v>0.83471149144864</v>
      </c>
      <c r="L11" s="8">
        <v>35.5527751610222</v>
      </c>
      <c r="M11" s="8">
        <v>25.1116431989513</v>
      </c>
      <c r="N11" s="8">
        <v>0.560719199403842</v>
      </c>
      <c r="O11" s="8">
        <v>0.84622867235077</v>
      </c>
      <c r="P11" s="8">
        <v>29.6150106224174</v>
      </c>
      <c r="Q11" s="8">
        <v>19.8543215822671</v>
      </c>
      <c r="R11" s="8">
        <v>0.345397706693273</v>
      </c>
      <c r="S11" s="8">
        <v>0.848574758015955</v>
      </c>
    </row>
    <row r="12" spans="1:19">
      <c r="A12" s="19" t="s">
        <v>224</v>
      </c>
      <c r="B12" s="6">
        <v>172</v>
      </c>
      <c r="C12" s="6" t="s">
        <v>270</v>
      </c>
      <c r="D12" s="7">
        <v>16.870392470849</v>
      </c>
      <c r="E12" s="7">
        <v>6.18641608934079</v>
      </c>
      <c r="F12" s="7">
        <v>0.10161736667308</v>
      </c>
      <c r="G12" s="7">
        <v>0.956481158810966</v>
      </c>
      <c r="H12" s="8">
        <v>20.0767131828375</v>
      </c>
      <c r="I12" s="8">
        <v>17.7116693289146</v>
      </c>
      <c r="J12" s="8">
        <v>0.160428925873627</v>
      </c>
      <c r="K12" s="8">
        <v>0.947331105917174</v>
      </c>
      <c r="L12" s="8">
        <v>11.3175865557707</v>
      </c>
      <c r="M12" s="8">
        <v>7.51479095211772</v>
      </c>
      <c r="N12" s="8">
        <v>0.0884619877576797</v>
      </c>
      <c r="O12" s="8">
        <v>0.982880653469223</v>
      </c>
      <c r="P12" s="8">
        <v>14.0613617863536</v>
      </c>
      <c r="Q12" s="8">
        <v>10.9995292153786</v>
      </c>
      <c r="R12" s="8">
        <v>0.099790936538969</v>
      </c>
      <c r="S12" s="8">
        <v>0.973216373331886</v>
      </c>
    </row>
    <row r="13" spans="1:19">
      <c r="A13" s="19" t="s">
        <v>226</v>
      </c>
      <c r="B13" s="6">
        <v>373</v>
      </c>
      <c r="C13" s="6" t="s">
        <v>271</v>
      </c>
      <c r="D13" s="7">
        <v>39.3080289416935</v>
      </c>
      <c r="E13" s="7">
        <v>19.2277299322369</v>
      </c>
      <c r="F13" s="7">
        <v>0.100641251489269</v>
      </c>
      <c r="G13" s="7">
        <v>0.718045195509173</v>
      </c>
      <c r="H13" s="8">
        <v>22.3599628039616</v>
      </c>
      <c r="I13" s="8">
        <v>19.0059432034068</v>
      </c>
      <c r="J13" s="8">
        <v>0.186336029523006</v>
      </c>
      <c r="K13" s="8">
        <v>0.951008083199315</v>
      </c>
      <c r="L13" s="8">
        <v>16.9915749396301</v>
      </c>
      <c r="M13" s="8">
        <v>13.1039757509576</v>
      </c>
      <c r="N13" s="8">
        <v>0.129828839927973</v>
      </c>
      <c r="O13" s="8">
        <v>0.975018158160162</v>
      </c>
      <c r="P13" s="8">
        <v>15.8986254710196</v>
      </c>
      <c r="Q13" s="8">
        <v>9.42301788191306</v>
      </c>
      <c r="R13" s="8">
        <v>0.0975450806274868</v>
      </c>
      <c r="S13" s="8">
        <v>0.95952069705816</v>
      </c>
    </row>
    <row r="14" spans="1:19">
      <c r="A14" s="19" t="s">
        <v>227</v>
      </c>
      <c r="B14" s="6">
        <v>334</v>
      </c>
      <c r="C14" s="6" t="s">
        <v>272</v>
      </c>
      <c r="D14" s="7">
        <v>39.2468438329974</v>
      </c>
      <c r="E14" s="7">
        <v>26.5534870238604</v>
      </c>
      <c r="F14" s="7">
        <v>0.0715941586525593</v>
      </c>
      <c r="G14" s="7">
        <v>0.882924402374768</v>
      </c>
      <c r="H14" s="8">
        <v>12.8835657929786</v>
      </c>
      <c r="I14" s="8">
        <v>9.32762345988496</v>
      </c>
      <c r="J14" s="8">
        <v>0.130788535159086</v>
      </c>
      <c r="K14" s="8">
        <v>0.984366408634002</v>
      </c>
      <c r="L14" s="8">
        <v>12.4718545140136</v>
      </c>
      <c r="M14" s="8">
        <v>8.41323448734769</v>
      </c>
      <c r="N14" s="8">
        <v>0.143464714459421</v>
      </c>
      <c r="O14" s="8">
        <v>0.985463933674808</v>
      </c>
      <c r="P14" s="8">
        <v>12.4612612411255</v>
      </c>
      <c r="Q14" s="8">
        <v>8.78867462335313</v>
      </c>
      <c r="R14" s="8">
        <v>0.116225534837377</v>
      </c>
      <c r="S14" s="8">
        <v>0.986223052705284</v>
      </c>
    </row>
    <row r="15" spans="1:19">
      <c r="A15" s="19" t="s">
        <v>228</v>
      </c>
      <c r="B15" s="6">
        <v>345</v>
      </c>
      <c r="C15" s="6" t="s">
        <v>273</v>
      </c>
      <c r="D15" s="7">
        <v>24.643177580181</v>
      </c>
      <c r="E15" s="7">
        <v>13.6699865473807</v>
      </c>
      <c r="F15" s="7">
        <v>0.331048942262028</v>
      </c>
      <c r="G15" s="7">
        <v>0.852679357972381</v>
      </c>
      <c r="H15" s="8">
        <v>17.3438538671854</v>
      </c>
      <c r="I15" s="8">
        <v>14.6588956824281</v>
      </c>
      <c r="J15" s="8">
        <v>0.137142917137723</v>
      </c>
      <c r="K15" s="8">
        <v>0.974684549619063</v>
      </c>
      <c r="L15" s="8">
        <v>9.58479245505087</v>
      </c>
      <c r="M15" s="8">
        <v>6.58546912782202</v>
      </c>
      <c r="N15" s="8">
        <v>0.0975611345322772</v>
      </c>
      <c r="O15" s="8">
        <v>0.992042264187555</v>
      </c>
      <c r="P15" s="8">
        <v>8.45668141849524</v>
      </c>
      <c r="Q15" s="8">
        <v>6.5203546062072</v>
      </c>
      <c r="R15" s="8">
        <v>0.0656706535099858</v>
      </c>
      <c r="S15" s="8">
        <v>0.992883139309692</v>
      </c>
    </row>
    <row r="16" spans="1:19">
      <c r="A16" s="19" t="s">
        <v>229</v>
      </c>
      <c r="B16" s="6">
        <v>395</v>
      </c>
      <c r="C16" s="6" t="s">
        <v>274</v>
      </c>
      <c r="D16" s="7">
        <v>16.1914367129201</v>
      </c>
      <c r="E16" s="7">
        <v>12.3683434043641</v>
      </c>
      <c r="F16" s="7">
        <v>0.0790723594799234</v>
      </c>
      <c r="G16" s="7">
        <v>0.951095962626806</v>
      </c>
      <c r="H16" s="8">
        <v>18.0609239631963</v>
      </c>
      <c r="I16" s="8">
        <v>12.5458984249955</v>
      </c>
      <c r="J16" s="8">
        <v>0.151451775540416</v>
      </c>
      <c r="K16" s="8">
        <v>0.94039746238817</v>
      </c>
      <c r="L16" s="8">
        <v>14.2817931797276</v>
      </c>
      <c r="M16" s="8">
        <v>10.9495682162729</v>
      </c>
      <c r="N16" s="8">
        <v>0.11887460836557</v>
      </c>
      <c r="O16" s="8">
        <v>0.96138152154044</v>
      </c>
      <c r="P16" s="8">
        <v>10.9501972083208</v>
      </c>
      <c r="Q16" s="8">
        <v>7.62343979560026</v>
      </c>
      <c r="R16" s="8">
        <v>0.086308067169308</v>
      </c>
      <c r="S16" s="8">
        <v>0.976889515536848</v>
      </c>
    </row>
    <row r="17" spans="1:19">
      <c r="A17" s="9" t="s">
        <v>275</v>
      </c>
      <c r="B17" s="9"/>
      <c r="C17" s="9"/>
      <c r="D17" s="7">
        <v>25.5481916076561</v>
      </c>
      <c r="E17" s="7">
        <v>14.3107119734605</v>
      </c>
      <c r="F17" s="7">
        <v>0.115789195606578</v>
      </c>
      <c r="G17" s="7">
        <v>0.914355993227927</v>
      </c>
      <c r="H17" s="8">
        <f t="shared" ref="D17:K17" si="0">AVERAGE(H3:H16)</f>
        <v>34.7888609323951</v>
      </c>
      <c r="I17" s="8">
        <f t="shared" si="0"/>
        <v>25.4607354926602</v>
      </c>
      <c r="J17" s="8">
        <f t="shared" si="0"/>
        <v>0.18900730512708</v>
      </c>
      <c r="K17" s="8">
        <f t="shared" si="0"/>
        <v>0.86784576506095</v>
      </c>
      <c r="L17" s="8">
        <f t="shared" ref="L17:S17" si="1">AVERAGE(L3:L16)</f>
        <v>32.6122123910425</v>
      </c>
      <c r="M17" s="8">
        <f t="shared" si="1"/>
        <v>21.8858033772829</v>
      </c>
      <c r="N17" s="8">
        <f t="shared" si="1"/>
        <v>0.171010451967024</v>
      </c>
      <c r="O17" s="8">
        <f t="shared" si="1"/>
        <v>0.876354882464114</v>
      </c>
      <c r="P17" s="8">
        <f t="shared" si="1"/>
        <v>25.9750074626282</v>
      </c>
      <c r="Q17" s="8">
        <f t="shared" si="1"/>
        <v>15.3827664403852</v>
      </c>
      <c r="R17" s="8">
        <f t="shared" si="1"/>
        <v>0.124278125672348</v>
      </c>
      <c r="S17" s="8">
        <f t="shared" si="1"/>
        <v>0.911190543002886</v>
      </c>
    </row>
    <row r="18" spans="1:19">
      <c r="A18" s="9" t="s">
        <v>276</v>
      </c>
      <c r="B18" s="9"/>
      <c r="C18" s="9"/>
      <c r="D18" s="7">
        <v>16.3238308012231</v>
      </c>
      <c r="E18" s="7">
        <v>11.1658848753467</v>
      </c>
      <c r="F18" s="7">
        <v>0.0724888264552241</v>
      </c>
      <c r="G18" s="7">
        <v>0.0785257491823084</v>
      </c>
      <c r="H18" s="8">
        <f t="shared" ref="D18:K18" si="2">_xlfn.STDEV.P(H3:H17)</f>
        <v>20.9605306529502</v>
      </c>
      <c r="I18" s="8">
        <f t="shared" si="2"/>
        <v>16.4172127429785</v>
      </c>
      <c r="J18" s="8">
        <f t="shared" si="2"/>
        <v>0.104825768480556</v>
      </c>
      <c r="K18" s="8">
        <f t="shared" si="2"/>
        <v>0.140940457179366</v>
      </c>
      <c r="L18" s="8">
        <f t="shared" ref="L18:S18" si="3">_xlfn.STDEV.P(L3:L17)</f>
        <v>26.5084858527441</v>
      </c>
      <c r="M18" s="8">
        <f t="shared" si="3"/>
        <v>16.8005490774785</v>
      </c>
      <c r="N18" s="8">
        <f t="shared" si="3"/>
        <v>0.111229644083761</v>
      </c>
      <c r="O18" s="8">
        <f t="shared" si="3"/>
        <v>0.146978236272552</v>
      </c>
      <c r="P18" s="8">
        <f t="shared" si="3"/>
        <v>16.5809290246834</v>
      </c>
      <c r="Q18" s="8">
        <f t="shared" si="3"/>
        <v>8.96015676908683</v>
      </c>
      <c r="R18" s="8">
        <f t="shared" si="3"/>
        <v>0.0663647917599939</v>
      </c>
      <c r="S18" s="8">
        <f t="shared" si="3"/>
        <v>0.100569685488297</v>
      </c>
    </row>
  </sheetData>
  <mergeCells count="9">
    <mergeCell ref="D1:G1"/>
    <mergeCell ref="H1:K1"/>
    <mergeCell ref="L1:O1"/>
    <mergeCell ref="P1:S1"/>
    <mergeCell ref="A17:C17"/>
    <mergeCell ref="A18:C18"/>
    <mergeCell ref="A1:A2"/>
    <mergeCell ref="B1:B2"/>
    <mergeCell ref="C1:C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zoomScale="130" zoomScaleNormal="130" workbookViewId="0">
      <selection activeCell="J8" sqref="J8"/>
    </sheetView>
  </sheetViews>
  <sheetFormatPr defaultColWidth="8.875" defaultRowHeight="13.5"/>
  <cols>
    <col min="1" max="1" width="8.625" style="4" customWidth="1"/>
    <col min="2" max="2" width="9.625" style="4" customWidth="1"/>
    <col min="3" max="3" width="15.5" style="4" customWidth="1"/>
    <col min="4" max="11" width="7.625" style="4" customWidth="1"/>
    <col min="12" max="12" width="8.5" style="4" customWidth="1"/>
    <col min="13" max="13" width="8.75" style="4" customWidth="1"/>
    <col min="14" max="19" width="7.625" style="4" customWidth="1"/>
  </cols>
  <sheetData>
    <row r="1" spans="1:19">
      <c r="A1" s="4" t="s">
        <v>242</v>
      </c>
      <c r="B1" s="4" t="s">
        <v>243</v>
      </c>
      <c r="C1" s="4" t="s">
        <v>244</v>
      </c>
      <c r="D1" s="4" t="s">
        <v>291</v>
      </c>
      <c r="H1" s="4" t="s">
        <v>296</v>
      </c>
      <c r="L1" s="4" t="s">
        <v>297</v>
      </c>
      <c r="P1" s="4" t="s">
        <v>298</v>
      </c>
    </row>
    <row r="2" spans="1:19">
      <c r="D2" s="5" t="s">
        <v>257</v>
      </c>
      <c r="E2" s="5" t="s">
        <v>258</v>
      </c>
      <c r="F2" s="5" t="s">
        <v>259</v>
      </c>
      <c r="G2" s="5" t="s">
        <v>260</v>
      </c>
      <c r="H2" s="5" t="s">
        <v>257</v>
      </c>
      <c r="I2" s="5" t="s">
        <v>258</v>
      </c>
      <c r="J2" s="5" t="s">
        <v>259</v>
      </c>
      <c r="K2" s="5" t="s">
        <v>260</v>
      </c>
      <c r="L2" s="5" t="s">
        <v>257</v>
      </c>
      <c r="M2" s="5" t="s">
        <v>258</v>
      </c>
      <c r="N2" s="5" t="s">
        <v>259</v>
      </c>
      <c r="O2" s="5" t="s">
        <v>260</v>
      </c>
      <c r="P2" s="5" t="s">
        <v>257</v>
      </c>
      <c r="Q2" s="5" t="s">
        <v>258</v>
      </c>
      <c r="R2" s="5" t="s">
        <v>259</v>
      </c>
      <c r="S2" s="5" t="s">
        <v>260</v>
      </c>
    </row>
    <row r="3" spans="1:19">
      <c r="A3" s="19" t="s">
        <v>197</v>
      </c>
      <c r="B3" s="6">
        <v>303</v>
      </c>
      <c r="C3" s="6" t="s">
        <v>277</v>
      </c>
      <c r="D3" s="7">
        <v>32.1128756290339</v>
      </c>
      <c r="E3" s="7">
        <v>20.0920076419968</v>
      </c>
      <c r="F3" s="7">
        <v>0.137329435246112</v>
      </c>
      <c r="G3" s="7">
        <v>0.940127051948355</v>
      </c>
      <c r="H3" s="8">
        <v>31.4509234301115</v>
      </c>
      <c r="I3" s="8">
        <v>28.6959630262203</v>
      </c>
      <c r="J3" s="8">
        <v>0.0930178210530748</v>
      </c>
      <c r="K3" s="8">
        <v>0.935487335054369</v>
      </c>
      <c r="L3" s="8">
        <v>42.449505047318</v>
      </c>
      <c r="M3" s="8">
        <v>24.8398264938282</v>
      </c>
      <c r="N3" s="8">
        <v>0.121944636062564</v>
      </c>
      <c r="O3" s="8">
        <v>0.843995827326807</v>
      </c>
      <c r="P3" s="8">
        <v>40.8765915675444</v>
      </c>
      <c r="Q3" s="8">
        <v>24.0488473300771</v>
      </c>
      <c r="R3" s="8">
        <v>0.101268936312591</v>
      </c>
      <c r="S3" s="8">
        <v>0.809724332259485</v>
      </c>
    </row>
    <row r="4" spans="1:19">
      <c r="A4" s="19" t="s">
        <v>204</v>
      </c>
      <c r="B4" s="6">
        <v>307</v>
      </c>
      <c r="C4" s="6" t="s">
        <v>278</v>
      </c>
      <c r="D4" s="7">
        <v>37.0920269853065</v>
      </c>
      <c r="E4" s="7">
        <v>17.0251421234512</v>
      </c>
      <c r="F4" s="7">
        <v>0.210716476789341</v>
      </c>
      <c r="G4" s="7">
        <v>0.92616022958977</v>
      </c>
      <c r="H4" s="8">
        <v>88.2327632644821</v>
      </c>
      <c r="I4" s="8">
        <v>49.6823756318347</v>
      </c>
      <c r="J4" s="8">
        <v>0.352852093578776</v>
      </c>
      <c r="K4" s="8">
        <v>0.353737819457817</v>
      </c>
      <c r="L4" s="8">
        <v>79.1692049491422</v>
      </c>
      <c r="M4" s="8">
        <v>35.8922854696585</v>
      </c>
      <c r="N4" s="8">
        <v>0.273753137697671</v>
      </c>
      <c r="O4" s="8">
        <v>0.214979575933397</v>
      </c>
      <c r="P4" s="8">
        <v>103.134727242954</v>
      </c>
      <c r="Q4" s="8">
        <v>61.0308617550553</v>
      </c>
      <c r="R4" s="8">
        <v>0.446444096461693</v>
      </c>
      <c r="S4" s="8">
        <v>0.197637429940635</v>
      </c>
    </row>
    <row r="5" spans="1:19">
      <c r="A5" s="19" t="s">
        <v>207</v>
      </c>
      <c r="B5" s="6">
        <v>291</v>
      </c>
      <c r="C5" s="6" t="s">
        <v>279</v>
      </c>
      <c r="D5" s="7">
        <v>33.9217898305668</v>
      </c>
      <c r="E5" s="7">
        <v>16.7955144570005</v>
      </c>
      <c r="F5" s="7">
        <v>0.175823667608585</v>
      </c>
      <c r="G5" s="7">
        <v>0.940767452398734</v>
      </c>
      <c r="H5" s="8">
        <v>59.6277854994169</v>
      </c>
      <c r="I5" s="8">
        <v>34.0603869287288</v>
      </c>
      <c r="J5" s="8">
        <v>0.371478619514124</v>
      </c>
      <c r="K5" s="8">
        <v>0.698760018179619</v>
      </c>
      <c r="L5" s="8">
        <v>59.5626161263941</v>
      </c>
      <c r="M5" s="8">
        <v>26.7925164365123</v>
      </c>
      <c r="N5" s="8">
        <v>0.483493127615236</v>
      </c>
      <c r="O5" s="8">
        <v>0.754079546378384</v>
      </c>
      <c r="P5" s="8">
        <v>65.8382944902067</v>
      </c>
      <c r="Q5" s="8">
        <v>30.2021800025573</v>
      </c>
      <c r="R5" s="8">
        <v>0.419592059564197</v>
      </c>
      <c r="S5" s="8">
        <v>0.689289391705944</v>
      </c>
    </row>
    <row r="6" spans="1:19">
      <c r="A6" s="19" t="s">
        <v>208</v>
      </c>
      <c r="B6" s="6">
        <v>380</v>
      </c>
      <c r="C6" s="6" t="s">
        <v>280</v>
      </c>
      <c r="D6" s="7">
        <v>28.7137097061649</v>
      </c>
      <c r="E6" s="7">
        <v>16.1463064211087</v>
      </c>
      <c r="F6" s="7">
        <v>0.112542512988948</v>
      </c>
      <c r="G6" s="7">
        <v>0.933204700042314</v>
      </c>
      <c r="H6" s="8">
        <v>66.8906632367742</v>
      </c>
      <c r="I6" s="8">
        <v>40.3866295028007</v>
      </c>
      <c r="J6" s="8">
        <v>0.314782260143613</v>
      </c>
      <c r="K6" s="8">
        <v>0.600702754094463</v>
      </c>
      <c r="L6" s="8">
        <v>55.069534185857</v>
      </c>
      <c r="M6" s="8">
        <v>28.579544123761</v>
      </c>
      <c r="N6" s="8">
        <v>0.22762530178876</v>
      </c>
      <c r="O6" s="8">
        <v>0.727431213355244</v>
      </c>
      <c r="P6" s="8">
        <v>60.3139890383148</v>
      </c>
      <c r="Q6" s="8">
        <v>41.0079191585178</v>
      </c>
      <c r="R6" s="8">
        <v>0.254109004251818</v>
      </c>
      <c r="S6" s="8">
        <v>0.707834634841796</v>
      </c>
    </row>
    <row r="7" spans="1:19">
      <c r="A7" s="19" t="s">
        <v>210</v>
      </c>
      <c r="B7" s="6">
        <v>127</v>
      </c>
      <c r="C7" s="6" t="s">
        <v>281</v>
      </c>
      <c r="D7" s="7">
        <v>33.9258740268022</v>
      </c>
      <c r="E7" s="7">
        <v>17.2201337899097</v>
      </c>
      <c r="F7" s="7">
        <v>0.170812737253961</v>
      </c>
      <c r="G7" s="7">
        <v>0.621693500252094</v>
      </c>
      <c r="H7" s="8">
        <v>29.7293316354993</v>
      </c>
      <c r="I7" s="8">
        <v>20.8111961944215</v>
      </c>
      <c r="J7" s="8">
        <v>0.23516978428266</v>
      </c>
      <c r="K7" s="8">
        <v>0.900864140589071</v>
      </c>
      <c r="L7" s="8">
        <v>37.5257300436604</v>
      </c>
      <c r="M7" s="8">
        <v>30.1343208177812</v>
      </c>
      <c r="N7" s="8">
        <v>0.281978112747472</v>
      </c>
      <c r="O7" s="8">
        <v>0.851385985992659</v>
      </c>
      <c r="P7" s="8">
        <v>21.0138433956586</v>
      </c>
      <c r="Q7" s="8">
        <v>19.7474283580639</v>
      </c>
      <c r="R7" s="8">
        <v>0.156880532763157</v>
      </c>
      <c r="S7" s="8">
        <v>0.940600293386706</v>
      </c>
    </row>
    <row r="8" spans="1:19">
      <c r="A8" s="19" t="s">
        <v>220</v>
      </c>
      <c r="B8" s="6">
        <v>72</v>
      </c>
      <c r="C8" s="6" t="s">
        <v>282</v>
      </c>
      <c r="D8" s="7">
        <v>63.463565777981</v>
      </c>
      <c r="E8" s="7">
        <v>49.5887328882092</v>
      </c>
      <c r="F8" s="7">
        <v>0.328694832685444</v>
      </c>
      <c r="G8" s="7">
        <v>0.577510827965887</v>
      </c>
      <c r="H8" s="8">
        <v>79.3289511674772</v>
      </c>
      <c r="I8" s="8">
        <v>70.7220389689211</v>
      </c>
      <c r="J8" s="8">
        <v>0.33194888052067</v>
      </c>
      <c r="K8" s="8">
        <v>0.299402831000952</v>
      </c>
      <c r="L8" s="8">
        <v>59.2350770911256</v>
      </c>
      <c r="M8" s="8">
        <v>33.3555091367548</v>
      </c>
      <c r="N8" s="8">
        <v>0.277163177968027</v>
      </c>
      <c r="O8" s="8">
        <v>0.46401991665282</v>
      </c>
      <c r="P8" s="8">
        <v>59.9961295144001</v>
      </c>
      <c r="Q8" s="8">
        <v>35.3302634327775</v>
      </c>
      <c r="R8" s="8">
        <v>0.269387866212049</v>
      </c>
      <c r="S8" s="8">
        <v>0.443204992339061</v>
      </c>
    </row>
    <row r="9" spans="1:19">
      <c r="A9" s="19" t="s">
        <v>223</v>
      </c>
      <c r="B9" s="6">
        <v>74</v>
      </c>
      <c r="C9" s="6" t="s">
        <v>283</v>
      </c>
      <c r="D9" s="7">
        <v>12.2678356216481</v>
      </c>
      <c r="E9" s="7">
        <v>6.03057579195008</v>
      </c>
      <c r="F9" s="7">
        <v>0.0876991716049259</v>
      </c>
      <c r="G9" s="7">
        <v>0.677449700232667</v>
      </c>
      <c r="H9" s="8">
        <v>9.22144185395892</v>
      </c>
      <c r="I9" s="8">
        <v>8.22770437423894</v>
      </c>
      <c r="J9" s="8">
        <v>0.0751374506542228</v>
      </c>
      <c r="K9" s="8">
        <v>0.702362836151973</v>
      </c>
      <c r="L9" s="8">
        <v>12.0728399924555</v>
      </c>
      <c r="M9" s="8">
        <v>7.262642785192</v>
      </c>
      <c r="N9" s="8">
        <v>0.0941577592347069</v>
      </c>
      <c r="O9" s="8">
        <v>0.288538711793191</v>
      </c>
      <c r="P9" s="8">
        <v>10.4429414730513</v>
      </c>
      <c r="Q9" s="8">
        <v>9.28441962505364</v>
      </c>
      <c r="R9" s="8">
        <v>0.0837630697410773</v>
      </c>
      <c r="S9" s="8">
        <v>0.593594050218661</v>
      </c>
    </row>
    <row r="10" spans="1:19">
      <c r="A10" s="19" t="s">
        <v>231</v>
      </c>
      <c r="B10" s="6">
        <v>54</v>
      </c>
      <c r="C10" s="6" t="s">
        <v>284</v>
      </c>
      <c r="D10" s="7">
        <v>61.4299210730023</v>
      </c>
      <c r="E10" s="7">
        <v>28.7371067584847</v>
      </c>
      <c r="F10" s="7">
        <v>0.256345391043289</v>
      </c>
      <c r="G10" s="7">
        <v>0.808884181677394</v>
      </c>
      <c r="H10" s="8">
        <v>30.897996821104</v>
      </c>
      <c r="I10" s="8">
        <v>24.0120984931141</v>
      </c>
      <c r="J10" s="8">
        <v>0.0575207782675791</v>
      </c>
      <c r="K10" s="8">
        <v>0.976041984525558</v>
      </c>
      <c r="L10" s="8">
        <v>29.8982053365783</v>
      </c>
      <c r="M10" s="8">
        <v>15.5537567082389</v>
      </c>
      <c r="N10" s="8">
        <v>0.0462386499353231</v>
      </c>
      <c r="O10" s="8">
        <v>0.968519676067125</v>
      </c>
      <c r="P10" s="8">
        <v>71.7825634155419</v>
      </c>
      <c r="Q10" s="8">
        <v>48.7522762062396</v>
      </c>
      <c r="R10" s="8">
        <v>0.104419647605198</v>
      </c>
      <c r="S10" s="8">
        <v>0.842073552205735</v>
      </c>
    </row>
    <row r="11" spans="1:19">
      <c r="A11" s="19" t="s">
        <v>234</v>
      </c>
      <c r="B11" s="6">
        <v>59</v>
      </c>
      <c r="C11" s="6" t="s">
        <v>285</v>
      </c>
      <c r="D11" s="7">
        <v>66.7906687225068</v>
      </c>
      <c r="E11" s="7">
        <v>36.3969928897803</v>
      </c>
      <c r="F11" s="7">
        <v>0.203499679569269</v>
      </c>
      <c r="G11" s="7">
        <v>0.840554404158299</v>
      </c>
      <c r="H11" s="8">
        <v>30.9762171277423</v>
      </c>
      <c r="I11" s="8">
        <v>26.5679911388639</v>
      </c>
      <c r="J11" s="8">
        <v>0.0851177551430721</v>
      </c>
      <c r="K11" s="8">
        <v>0.959646018227303</v>
      </c>
      <c r="L11" s="8">
        <v>34.3558181652872</v>
      </c>
      <c r="M11" s="8">
        <v>30.9854666082359</v>
      </c>
      <c r="N11" s="8">
        <v>0.0813547352203565</v>
      </c>
      <c r="O11" s="8">
        <v>0.960296929508001</v>
      </c>
      <c r="P11" s="8">
        <v>34.2106067002202</v>
      </c>
      <c r="Q11" s="8">
        <v>35.1477699247471</v>
      </c>
      <c r="R11" s="8">
        <v>0.0881601358554416</v>
      </c>
      <c r="S11" s="8">
        <v>0.960700698499292</v>
      </c>
    </row>
    <row r="12" spans="1:19">
      <c r="A12" s="19" t="s">
        <v>236</v>
      </c>
      <c r="B12" s="6">
        <v>58</v>
      </c>
      <c r="C12" s="6" t="s">
        <v>286</v>
      </c>
      <c r="D12" s="7">
        <v>63.0897014804951</v>
      </c>
      <c r="E12" s="7">
        <v>43.0765375317825</v>
      </c>
      <c r="F12" s="7">
        <v>0.184589800696262</v>
      </c>
      <c r="G12" s="7">
        <v>0.891166885696923</v>
      </c>
      <c r="H12" s="8">
        <v>64.1059717131836</v>
      </c>
      <c r="I12" s="8">
        <v>38.9350676537271</v>
      </c>
      <c r="J12" s="8">
        <v>0.369604185189625</v>
      </c>
      <c r="K12" s="8">
        <v>0.883156923599475</v>
      </c>
      <c r="L12" s="8">
        <v>53.7325660216906</v>
      </c>
      <c r="M12" s="8">
        <v>53.8358001703361</v>
      </c>
      <c r="N12" s="8">
        <v>0.201382742767339</v>
      </c>
      <c r="O12" s="8">
        <v>0.950776497290995</v>
      </c>
      <c r="P12" s="8">
        <v>71.7819218385664</v>
      </c>
      <c r="Q12" s="8">
        <v>60.959204748682</v>
      </c>
      <c r="R12" s="8">
        <v>0.369516388936306</v>
      </c>
      <c r="S12" s="8">
        <v>0.873511731493765</v>
      </c>
    </row>
    <row r="13" spans="1:19">
      <c r="A13" s="19" t="s">
        <v>237</v>
      </c>
      <c r="B13" s="6">
        <v>59</v>
      </c>
      <c r="C13" s="6" t="s">
        <v>287</v>
      </c>
      <c r="D13" s="7">
        <v>70.572776310091</v>
      </c>
      <c r="E13" s="7">
        <v>43.5988515861249</v>
      </c>
      <c r="F13" s="7">
        <v>0.214549405738271</v>
      </c>
      <c r="G13" s="7">
        <v>0.831829721330745</v>
      </c>
      <c r="H13" s="8">
        <v>33.9889198849915</v>
      </c>
      <c r="I13" s="8">
        <v>18.325110126556</v>
      </c>
      <c r="J13" s="8">
        <v>0.172282903365219</v>
      </c>
      <c r="K13" s="8">
        <v>0.970191703190232</v>
      </c>
      <c r="L13" s="8">
        <v>48.6921967032656</v>
      </c>
      <c r="M13" s="8">
        <v>52.1450281184315</v>
      </c>
      <c r="N13" s="8">
        <v>0.15922312896768</v>
      </c>
      <c r="O13" s="8">
        <v>0.965432432716021</v>
      </c>
      <c r="P13" s="8">
        <v>51.8480518431059</v>
      </c>
      <c r="Q13" s="8">
        <v>23.5865332396517</v>
      </c>
      <c r="R13" s="8">
        <v>0.16711857362603</v>
      </c>
      <c r="S13" s="8">
        <v>0.930680450454895</v>
      </c>
    </row>
    <row r="14" spans="1:19">
      <c r="A14" s="19" t="s">
        <v>238</v>
      </c>
      <c r="B14" s="6">
        <v>59</v>
      </c>
      <c r="C14" s="6" t="s">
        <v>288</v>
      </c>
      <c r="D14" s="7">
        <v>54.0008652458824</v>
      </c>
      <c r="E14" s="7">
        <v>31.1200377388979</v>
      </c>
      <c r="F14" s="7">
        <v>0.191772660714364</v>
      </c>
      <c r="G14" s="7">
        <v>0.883375361478511</v>
      </c>
      <c r="H14" s="8">
        <v>31.3654133376137</v>
      </c>
      <c r="I14" s="8">
        <v>34.6295608980318</v>
      </c>
      <c r="J14" s="8">
        <v>0.0526417350691538</v>
      </c>
      <c r="K14" s="8">
        <v>0.982495393632512</v>
      </c>
      <c r="L14" s="8">
        <v>43.9487540576933</v>
      </c>
      <c r="M14" s="8">
        <v>41.6831412590733</v>
      </c>
      <c r="N14" s="8">
        <v>0.0621794855779287</v>
      </c>
      <c r="O14" s="8">
        <v>0.955323698174691</v>
      </c>
      <c r="P14" s="8">
        <v>35.0333203455236</v>
      </c>
      <c r="Q14" s="8">
        <v>6.80042820574868</v>
      </c>
      <c r="R14" s="8">
        <v>0.0549546407761767</v>
      </c>
      <c r="S14" s="8">
        <v>0.948924425636228</v>
      </c>
    </row>
    <row r="15" spans="1:19">
      <c r="A15" s="19" t="s">
        <v>239</v>
      </c>
      <c r="B15" s="6">
        <v>58</v>
      </c>
      <c r="C15" s="6" t="s">
        <v>289</v>
      </c>
      <c r="D15" s="7">
        <v>56.7929053899285</v>
      </c>
      <c r="E15" s="7">
        <v>27.8667108951432</v>
      </c>
      <c r="F15" s="7">
        <v>0.184370195072289</v>
      </c>
      <c r="G15" s="7">
        <v>0.874855452650536</v>
      </c>
      <c r="H15" s="8">
        <v>24.0627860883226</v>
      </c>
      <c r="I15" s="8">
        <v>16.0988617441097</v>
      </c>
      <c r="J15" s="8">
        <v>0.0425865066173619</v>
      </c>
      <c r="K15" s="8">
        <v>0.969976941950919</v>
      </c>
      <c r="L15" s="8">
        <v>19.8854722087772</v>
      </c>
      <c r="M15" s="8">
        <v>15.7325114298638</v>
      </c>
      <c r="N15" s="8">
        <v>0.036440114538778</v>
      </c>
      <c r="O15" s="8">
        <v>0.974250407529255</v>
      </c>
      <c r="P15" s="8">
        <v>29.5324754405951</v>
      </c>
      <c r="Q15" s="8">
        <v>24.308151138769</v>
      </c>
      <c r="R15" s="8">
        <v>0.0491217170641555</v>
      </c>
      <c r="S15" s="8">
        <v>0.957192556797161</v>
      </c>
    </row>
    <row r="16" spans="1:19">
      <c r="A16" s="19" t="s">
        <v>241</v>
      </c>
      <c r="B16" s="6">
        <v>58</v>
      </c>
      <c r="C16" s="6" t="s">
        <v>290</v>
      </c>
      <c r="D16" s="7">
        <v>59.1080825753316</v>
      </c>
      <c r="E16" s="7">
        <v>32.8267614642412</v>
      </c>
      <c r="F16" s="7">
        <v>0.196977214962435</v>
      </c>
      <c r="G16" s="7">
        <v>0.879081758799406</v>
      </c>
      <c r="H16" s="8">
        <v>28.7318920601366</v>
      </c>
      <c r="I16" s="8">
        <v>32.0023875300057</v>
      </c>
      <c r="J16" s="8">
        <v>0.0536062410176916</v>
      </c>
      <c r="K16" s="8">
        <v>0.974675511156872</v>
      </c>
      <c r="L16" s="8">
        <v>36.0294955738643</v>
      </c>
      <c r="M16" s="8">
        <v>34.3810760616581</v>
      </c>
      <c r="N16" s="8">
        <v>0.0713025250724887</v>
      </c>
      <c r="O16" s="8">
        <v>0.961873929842793</v>
      </c>
      <c r="P16" s="8">
        <v>31.5549825429692</v>
      </c>
      <c r="Q16" s="8">
        <v>9.80218623856271</v>
      </c>
      <c r="R16" s="8">
        <v>0.0414946817692659</v>
      </c>
      <c r="S16" s="8">
        <v>0.940358115432459</v>
      </c>
    </row>
    <row r="17" spans="1:19">
      <c r="A17" s="9" t="s">
        <v>275</v>
      </c>
      <c r="B17" s="9"/>
      <c r="C17" s="9"/>
      <c r="D17" s="7">
        <v>48.0916141696244</v>
      </c>
      <c r="E17" s="7">
        <v>27.6086722841486</v>
      </c>
      <c r="F17" s="7">
        <v>0.189694512998107</v>
      </c>
      <c r="G17" s="7">
        <v>0.830475802015831</v>
      </c>
      <c r="H17" s="8">
        <f t="shared" ref="E17:S17" si="0">AVERAGE(H3:H16)</f>
        <v>43.4722183657725</v>
      </c>
      <c r="I17" s="8">
        <f t="shared" si="0"/>
        <v>31.6540980151124</v>
      </c>
      <c r="J17" s="8">
        <f t="shared" si="0"/>
        <v>0.186267643886917</v>
      </c>
      <c r="K17" s="8">
        <f t="shared" si="0"/>
        <v>0.800535872200795</v>
      </c>
      <c r="L17" s="8">
        <f t="shared" si="0"/>
        <v>43.6876439645078</v>
      </c>
      <c r="M17" s="8">
        <f t="shared" si="0"/>
        <v>30.7981018299518</v>
      </c>
      <c r="N17" s="8">
        <f t="shared" si="0"/>
        <v>0.172731188228166</v>
      </c>
      <c r="O17" s="8">
        <f t="shared" si="0"/>
        <v>0.77720745346867</v>
      </c>
      <c r="P17" s="8">
        <f t="shared" si="0"/>
        <v>49.0971742034752</v>
      </c>
      <c r="Q17" s="8">
        <f t="shared" si="0"/>
        <v>30.7148906688931</v>
      </c>
      <c r="R17" s="8">
        <f t="shared" si="0"/>
        <v>0.18615938220994</v>
      </c>
      <c r="S17" s="8">
        <f t="shared" si="0"/>
        <v>0.773951903943702</v>
      </c>
    </row>
    <row r="18" spans="1:19">
      <c r="A18" s="9" t="s">
        <v>276</v>
      </c>
      <c r="B18" s="9"/>
      <c r="C18" s="9"/>
      <c r="D18" s="7">
        <v>20.6105362924688</v>
      </c>
      <c r="E18" s="7">
        <v>15.3066652077033</v>
      </c>
      <c r="F18" s="7">
        <v>0.070102219826838</v>
      </c>
      <c r="G18" s="7">
        <v>0.14922948656414</v>
      </c>
      <c r="H18" s="8">
        <f t="shared" ref="E18:S18" si="1">_xlfn.STDEV.P(H3:H16)</f>
        <v>22.6394970386673</v>
      </c>
      <c r="I18" s="8">
        <f t="shared" si="1"/>
        <v>15.0579079259776</v>
      </c>
      <c r="J18" s="8">
        <f t="shared" si="1"/>
        <v>0.130915321209143</v>
      </c>
      <c r="K18" s="8">
        <f t="shared" si="1"/>
        <v>0.227225809463761</v>
      </c>
      <c r="L18" s="8">
        <f t="shared" si="1"/>
        <v>16.7963865319629</v>
      </c>
      <c r="M18" s="8">
        <f t="shared" si="1"/>
        <v>12.5938278724957</v>
      </c>
      <c r="N18" s="8">
        <f t="shared" si="1"/>
        <v>0.121838264180376</v>
      </c>
      <c r="O18" s="8">
        <f t="shared" si="1"/>
        <v>0.254430664527832</v>
      </c>
      <c r="P18" s="8">
        <f t="shared" si="1"/>
        <v>23.8178014983886</v>
      </c>
      <c r="Q18" s="8">
        <f t="shared" si="1"/>
        <v>16.9692458605722</v>
      </c>
      <c r="R18" s="8">
        <f t="shared" si="1"/>
        <v>0.136151487283991</v>
      </c>
      <c r="S18" s="8">
        <f t="shared" si="1"/>
        <v>0.220474593559967</v>
      </c>
    </row>
  </sheetData>
  <mergeCells count="9">
    <mergeCell ref="D1:G1"/>
    <mergeCell ref="H1:K1"/>
    <mergeCell ref="L1:O1"/>
    <mergeCell ref="P1:S1"/>
    <mergeCell ref="A17:C17"/>
    <mergeCell ref="A18:C18"/>
    <mergeCell ref="A1:A2"/>
    <mergeCell ref="B1:B2"/>
    <mergeCell ref="C1:C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J37" sqref="J37"/>
    </sheetView>
  </sheetViews>
  <sheetFormatPr defaultColWidth="9" defaultRowHeight="13.5"/>
  <sheetData>
    <row r="1" s="1" customFormat="1" spans="1:10">
      <c r="A1" s="2" t="s">
        <v>299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</row>
    <row r="2" s="1" customFormat="1" spans="1:10">
      <c r="A2" s="1" t="s">
        <v>309</v>
      </c>
      <c r="B2" s="1">
        <v>4.9107</v>
      </c>
      <c r="C2" s="1" t="s">
        <v>310</v>
      </c>
      <c r="D2" s="1" t="s">
        <v>311</v>
      </c>
      <c r="E2" s="1" t="s">
        <v>312</v>
      </c>
      <c r="F2" s="1">
        <v>1</v>
      </c>
      <c r="G2" s="1">
        <v>1</v>
      </c>
      <c r="H2" s="1">
        <v>294.66555349187</v>
      </c>
      <c r="I2" s="1">
        <v>294.642</v>
      </c>
      <c r="J2" s="1">
        <v>0.0235534918700182</v>
      </c>
    </row>
    <row r="3" s="1" customFormat="1" spans="1:10">
      <c r="A3" s="1" t="s">
        <v>313</v>
      </c>
      <c r="B3" s="1">
        <v>6.7152</v>
      </c>
      <c r="C3" s="1" t="s">
        <v>314</v>
      </c>
      <c r="D3" s="1" t="s">
        <v>315</v>
      </c>
      <c r="E3" s="1" t="s">
        <v>316</v>
      </c>
      <c r="F3" s="1">
        <v>1</v>
      </c>
      <c r="G3" s="1">
        <v>1</v>
      </c>
      <c r="H3" s="1">
        <v>449.199357975153</v>
      </c>
      <c r="I3" s="1">
        <v>402.912</v>
      </c>
      <c r="J3" s="1">
        <v>46.287357975153</v>
      </c>
    </row>
    <row r="4" s="1" customFormat="1" spans="1:10">
      <c r="A4" s="1" t="s">
        <v>317</v>
      </c>
      <c r="B4" s="1">
        <v>19.5992</v>
      </c>
      <c r="C4" s="1" t="s">
        <v>318</v>
      </c>
      <c r="D4" s="1" t="s">
        <v>319</v>
      </c>
      <c r="E4" s="1" t="s">
        <v>320</v>
      </c>
      <c r="F4" s="1">
        <v>2</v>
      </c>
      <c r="G4" s="1">
        <v>1</v>
      </c>
      <c r="H4" s="1">
        <v>1193.88924109888</v>
      </c>
      <c r="I4" s="1">
        <v>1175.952</v>
      </c>
      <c r="J4" s="1">
        <v>17.9372410988799</v>
      </c>
    </row>
    <row r="5" s="1" customFormat="1" spans="1:10">
      <c r="A5" s="1" t="s">
        <v>321</v>
      </c>
      <c r="B5" s="1">
        <v>9.2072</v>
      </c>
      <c r="C5" s="1" t="s">
        <v>322</v>
      </c>
      <c r="D5" s="1" t="s">
        <v>323</v>
      </c>
      <c r="E5" s="1" t="s">
        <v>324</v>
      </c>
      <c r="F5" s="1">
        <v>2</v>
      </c>
      <c r="G5" s="1">
        <v>1</v>
      </c>
      <c r="H5" s="1">
        <v>619.335689601038</v>
      </c>
      <c r="I5" s="1">
        <v>552.432</v>
      </c>
      <c r="J5" s="1">
        <v>66.903689601038</v>
      </c>
    </row>
    <row r="6" s="1" customFormat="1" spans="1:10">
      <c r="A6" s="1" t="s">
        <v>325</v>
      </c>
      <c r="B6" s="1">
        <v>12.4756</v>
      </c>
      <c r="C6" s="1" t="s">
        <v>326</v>
      </c>
      <c r="D6" s="1" t="s">
        <v>327</v>
      </c>
      <c r="E6" s="1" t="s">
        <v>328</v>
      </c>
      <c r="F6" s="1">
        <v>1</v>
      </c>
      <c r="G6" s="1">
        <v>1</v>
      </c>
      <c r="H6" s="1">
        <v>753.881406630289</v>
      </c>
      <c r="I6" s="1">
        <v>748.536</v>
      </c>
      <c r="J6" s="1">
        <v>5.34540663028895</v>
      </c>
    </row>
    <row r="7" s="1" customFormat="1" spans="1:10">
      <c r="A7" s="1" t="s">
        <v>329</v>
      </c>
      <c r="B7" s="1">
        <v>14.8943</v>
      </c>
      <c r="C7" s="1" t="s">
        <v>330</v>
      </c>
      <c r="D7" s="1" t="s">
        <v>331</v>
      </c>
      <c r="E7" s="1" t="s">
        <v>332</v>
      </c>
      <c r="F7" s="1">
        <v>4</v>
      </c>
      <c r="G7" s="1">
        <v>2</v>
      </c>
      <c r="H7" s="1">
        <v>799.618482195487</v>
      </c>
      <c r="I7" s="1">
        <v>893.658</v>
      </c>
      <c r="J7" s="1">
        <v>94.039517804513</v>
      </c>
    </row>
    <row r="8" s="1" customFormat="1" spans="1:10">
      <c r="A8" s="1" t="s">
        <v>333</v>
      </c>
      <c r="B8" s="1">
        <v>16.7584</v>
      </c>
      <c r="C8" s="1" t="s">
        <v>334</v>
      </c>
      <c r="D8" s="1" t="s">
        <v>335</v>
      </c>
      <c r="E8" s="1" t="s">
        <v>336</v>
      </c>
      <c r="F8" s="1">
        <v>47</v>
      </c>
      <c r="G8" s="1">
        <v>33</v>
      </c>
      <c r="H8" s="1">
        <v>971.46509361318</v>
      </c>
      <c r="I8" s="1">
        <v>1005.504</v>
      </c>
      <c r="J8" s="1">
        <v>34.0389063868201</v>
      </c>
    </row>
    <row r="9" s="1" customFormat="1" spans="1:10">
      <c r="A9" s="1" t="s">
        <v>337</v>
      </c>
      <c r="B9" s="1">
        <v>11.7705</v>
      </c>
      <c r="C9" s="1" t="s">
        <v>338</v>
      </c>
      <c r="D9" s="1" t="s">
        <v>339</v>
      </c>
      <c r="E9" s="1" t="s">
        <v>340</v>
      </c>
      <c r="F9" s="1">
        <v>2</v>
      </c>
      <c r="G9" s="1">
        <v>2</v>
      </c>
      <c r="H9" s="1">
        <v>808.071804703475</v>
      </c>
      <c r="I9" s="1">
        <v>706.23</v>
      </c>
      <c r="J9" s="1">
        <v>101.841804703475</v>
      </c>
    </row>
    <row r="10" s="1" customFormat="1" spans="1:10">
      <c r="A10" s="1" t="s">
        <v>341</v>
      </c>
      <c r="B10" s="1">
        <v>6.0895</v>
      </c>
      <c r="C10" s="1" t="s">
        <v>342</v>
      </c>
      <c r="D10" s="1" t="s">
        <v>343</v>
      </c>
      <c r="E10" s="1" t="s">
        <v>344</v>
      </c>
      <c r="F10" s="1">
        <v>2</v>
      </c>
      <c r="G10" s="1">
        <v>2</v>
      </c>
      <c r="H10" s="1">
        <v>371.578882026836</v>
      </c>
      <c r="I10" s="1">
        <v>365.37</v>
      </c>
      <c r="J10" s="1">
        <v>6.20888202683602</v>
      </c>
    </row>
    <row r="11" s="1" customFormat="1" spans="1:10">
      <c r="A11" s="1" t="s">
        <v>345</v>
      </c>
      <c r="B11" s="1">
        <v>10.826</v>
      </c>
      <c r="C11" s="1" t="s">
        <v>346</v>
      </c>
      <c r="D11" s="1" t="s">
        <v>347</v>
      </c>
      <c r="E11" s="1" t="s">
        <v>348</v>
      </c>
      <c r="F11" s="1">
        <v>1</v>
      </c>
      <c r="G11" s="1">
        <v>1</v>
      </c>
      <c r="H11" s="1">
        <v>663.671189588986</v>
      </c>
      <c r="I11" s="1">
        <v>649.56</v>
      </c>
      <c r="J11" s="1">
        <v>14.1111895889859</v>
      </c>
    </row>
    <row r="12" s="1" customFormat="1" spans="1:10">
      <c r="A12" s="1" t="s">
        <v>349</v>
      </c>
      <c r="B12" s="1">
        <v>14.9085</v>
      </c>
      <c r="C12" s="1" t="s">
        <v>350</v>
      </c>
      <c r="D12" s="1" t="s">
        <v>351</v>
      </c>
      <c r="E12" s="1" t="s">
        <v>352</v>
      </c>
      <c r="F12" s="1">
        <v>1</v>
      </c>
      <c r="G12" s="1">
        <v>1</v>
      </c>
      <c r="H12" s="1">
        <v>890.08118922517</v>
      </c>
      <c r="I12" s="1">
        <v>894.51</v>
      </c>
      <c r="J12" s="1">
        <v>4.42881077483003</v>
      </c>
    </row>
    <row r="13" s="1" customFormat="1" spans="1:10">
      <c r="A13" s="1" t="s">
        <v>353</v>
      </c>
      <c r="B13" s="1">
        <v>7.7694</v>
      </c>
      <c r="C13" s="1" t="s">
        <v>354</v>
      </c>
      <c r="D13" s="1" t="s">
        <v>355</v>
      </c>
      <c r="E13" s="1" t="s">
        <v>356</v>
      </c>
      <c r="F13" s="1">
        <v>3</v>
      </c>
      <c r="G13" s="1">
        <v>2</v>
      </c>
      <c r="H13" s="1">
        <v>433.245731370542</v>
      </c>
      <c r="I13" s="1">
        <v>466.164</v>
      </c>
      <c r="J13" s="1">
        <v>32.918268629458</v>
      </c>
    </row>
    <row r="14" s="1" customFormat="1" spans="1:10">
      <c r="A14" s="1" t="s">
        <v>357</v>
      </c>
      <c r="B14" s="1">
        <v>18.9313</v>
      </c>
      <c r="C14" s="1" t="s">
        <v>358</v>
      </c>
      <c r="D14" s="1" t="s">
        <v>359</v>
      </c>
      <c r="E14" s="1" t="s">
        <v>360</v>
      </c>
      <c r="F14" s="1">
        <v>2</v>
      </c>
      <c r="G14" s="1">
        <v>2</v>
      </c>
      <c r="H14" s="1">
        <v>1101.85547505937</v>
      </c>
      <c r="I14" s="1">
        <v>1135.878</v>
      </c>
      <c r="J14" s="1">
        <v>34.0225249406299</v>
      </c>
    </row>
    <row r="15" s="1" customFormat="1" spans="1:10">
      <c r="A15" s="1" t="s">
        <v>361</v>
      </c>
      <c r="B15" s="1">
        <v>10.7506</v>
      </c>
      <c r="C15" s="1" t="s">
        <v>362</v>
      </c>
      <c r="D15" s="1" t="s">
        <v>363</v>
      </c>
      <c r="E15" s="1" t="s">
        <v>364</v>
      </c>
      <c r="F15" s="1">
        <v>4</v>
      </c>
      <c r="G15" s="1">
        <v>4</v>
      </c>
      <c r="H15" s="1">
        <v>577.836571647043</v>
      </c>
      <c r="I15" s="1">
        <v>645.036</v>
      </c>
      <c r="J15" s="1">
        <v>67.1994283529571</v>
      </c>
    </row>
    <row r="16" s="1" customFormat="1" spans="1:10">
      <c r="A16" s="1" t="s">
        <v>365</v>
      </c>
      <c r="B16" s="1">
        <v>9.024</v>
      </c>
      <c r="C16" s="1" t="s">
        <v>366</v>
      </c>
      <c r="D16" s="1" t="s">
        <v>367</v>
      </c>
      <c r="E16" s="1" t="s">
        <v>368</v>
      </c>
      <c r="F16" s="1">
        <v>1</v>
      </c>
      <c r="G16" s="1">
        <v>1</v>
      </c>
      <c r="H16" s="1">
        <v>582.39926009352</v>
      </c>
      <c r="I16" s="1">
        <v>541.44</v>
      </c>
      <c r="J16" s="1">
        <v>40.95926009352</v>
      </c>
    </row>
    <row r="17" s="1" customFormat="1" spans="1:10">
      <c r="A17" s="1" t="s">
        <v>369</v>
      </c>
      <c r="B17" s="1">
        <v>4.6244</v>
      </c>
      <c r="C17" s="1" t="s">
        <v>370</v>
      </c>
      <c r="D17" s="1" t="s">
        <v>371</v>
      </c>
      <c r="E17" s="1" t="s">
        <v>372</v>
      </c>
      <c r="F17" s="1">
        <v>4</v>
      </c>
      <c r="G17" s="1">
        <v>4</v>
      </c>
      <c r="H17" s="1">
        <v>266.712602353447</v>
      </c>
      <c r="I17" s="1">
        <v>277.464</v>
      </c>
      <c r="J17" s="1">
        <v>10.751397646553</v>
      </c>
    </row>
    <row r="18" s="1" customFormat="1" spans="1:10">
      <c r="A18" s="1" t="s">
        <v>373</v>
      </c>
      <c r="B18" s="1">
        <v>10.9888</v>
      </c>
      <c r="C18" s="1" t="s">
        <v>374</v>
      </c>
      <c r="D18" s="1" t="s">
        <v>375</v>
      </c>
      <c r="E18" s="1" t="s">
        <v>376</v>
      </c>
      <c r="F18" s="1">
        <v>2</v>
      </c>
      <c r="G18" s="1">
        <v>2</v>
      </c>
      <c r="H18" s="1">
        <v>703.13881077361</v>
      </c>
      <c r="I18" s="1">
        <v>659.328</v>
      </c>
      <c r="J18" s="1">
        <v>43.81081077361</v>
      </c>
    </row>
    <row r="19" s="1" customFormat="1" spans="1:10">
      <c r="A19" s="1" t="s">
        <v>377</v>
      </c>
      <c r="B19" s="1">
        <v>11.3721</v>
      </c>
      <c r="C19" s="1" t="s">
        <v>378</v>
      </c>
      <c r="D19" s="1" t="s">
        <v>379</v>
      </c>
      <c r="E19" s="1" t="s">
        <v>380</v>
      </c>
      <c r="F19" s="1">
        <v>43</v>
      </c>
      <c r="G19" s="1">
        <v>42</v>
      </c>
      <c r="H19" s="1">
        <v>697.127708451889</v>
      </c>
      <c r="I19" s="1">
        <v>682.326</v>
      </c>
      <c r="J19" s="1">
        <v>14.801708451889</v>
      </c>
    </row>
    <row r="20" s="1" customFormat="1" spans="1:10">
      <c r="A20" s="1" t="s">
        <v>381</v>
      </c>
      <c r="B20" s="1">
        <v>13.2623</v>
      </c>
      <c r="C20" s="1" t="s">
        <v>382</v>
      </c>
      <c r="D20" s="1" t="s">
        <v>383</v>
      </c>
      <c r="E20" s="1" t="s">
        <v>384</v>
      </c>
      <c r="F20" s="1">
        <v>4</v>
      </c>
      <c r="G20" s="1">
        <v>2</v>
      </c>
      <c r="H20" s="1">
        <v>761.081183392623</v>
      </c>
      <c r="I20" s="1">
        <v>795.738</v>
      </c>
      <c r="J20" s="1">
        <v>34.656816607377</v>
      </c>
    </row>
    <row r="21" s="1" customFormat="1" spans="1:10">
      <c r="A21" s="1" t="s">
        <v>385</v>
      </c>
      <c r="B21" s="1">
        <v>12.8583</v>
      </c>
      <c r="C21" s="1" t="s">
        <v>386</v>
      </c>
      <c r="D21" s="1" t="s">
        <v>387</v>
      </c>
      <c r="E21" s="1" t="s">
        <v>388</v>
      </c>
      <c r="F21" s="1">
        <v>1</v>
      </c>
      <c r="G21" s="1">
        <v>1</v>
      </c>
      <c r="H21" s="1">
        <v>768.940211442331</v>
      </c>
      <c r="I21" s="1">
        <v>771.498</v>
      </c>
      <c r="J21" s="1">
        <v>2.55778855766903</v>
      </c>
    </row>
    <row r="22" s="1" customFormat="1" spans="1:10">
      <c r="A22" s="1" t="s">
        <v>389</v>
      </c>
      <c r="B22" s="1">
        <v>19.2695</v>
      </c>
      <c r="C22" s="1" t="s">
        <v>390</v>
      </c>
      <c r="D22" s="1" t="s">
        <v>391</v>
      </c>
      <c r="E22" s="1" t="s">
        <v>392</v>
      </c>
      <c r="F22" s="1">
        <v>35</v>
      </c>
      <c r="G22" s="1">
        <v>32</v>
      </c>
      <c r="H22" s="1">
        <v>1127.14032292945</v>
      </c>
      <c r="I22" s="1">
        <v>1156.17</v>
      </c>
      <c r="J22" s="1">
        <v>29.0296770705502</v>
      </c>
    </row>
    <row r="23" s="1" customFormat="1" spans="1:10">
      <c r="A23" s="1" t="s">
        <v>393</v>
      </c>
      <c r="B23" s="1">
        <v>4.8236</v>
      </c>
      <c r="C23" s="1" t="s">
        <v>394</v>
      </c>
      <c r="D23" s="1" t="s">
        <v>395</v>
      </c>
      <c r="E23" s="1" t="s">
        <v>396</v>
      </c>
      <c r="F23" s="1">
        <v>15</v>
      </c>
      <c r="G23" s="1">
        <v>2</v>
      </c>
      <c r="H23" s="1">
        <v>432.107828362151</v>
      </c>
      <c r="I23" s="1">
        <v>289.416</v>
      </c>
      <c r="J23" s="1">
        <v>142.691828362151</v>
      </c>
    </row>
    <row r="24" s="1" customFormat="1" spans="1:10">
      <c r="A24" s="1" t="s">
        <v>397</v>
      </c>
      <c r="B24" s="1">
        <v>13.5636</v>
      </c>
      <c r="C24" s="1" t="s">
        <v>398</v>
      </c>
      <c r="D24" s="1" t="s">
        <v>399</v>
      </c>
      <c r="E24" s="1" t="s">
        <v>400</v>
      </c>
      <c r="F24" s="1">
        <v>1</v>
      </c>
      <c r="G24" s="1">
        <v>1</v>
      </c>
      <c r="H24" s="1">
        <v>736.382878452776</v>
      </c>
      <c r="I24" s="1">
        <v>813.816</v>
      </c>
      <c r="J24" s="1">
        <v>77.4331215472239</v>
      </c>
    </row>
    <row r="25" s="1" customFormat="1" spans="1:10">
      <c r="A25" s="1" t="s">
        <v>401</v>
      </c>
      <c r="B25" s="1">
        <v>16.1434</v>
      </c>
      <c r="C25" s="1" t="s">
        <v>402</v>
      </c>
      <c r="D25" s="1" t="s">
        <v>403</v>
      </c>
      <c r="E25" s="1" t="s">
        <v>404</v>
      </c>
      <c r="F25" s="1">
        <v>2</v>
      </c>
      <c r="G25" s="1">
        <v>1</v>
      </c>
      <c r="H25" s="1">
        <v>915.67140350651</v>
      </c>
      <c r="I25" s="1">
        <v>968.604</v>
      </c>
      <c r="J25" s="1">
        <v>52.93259649349</v>
      </c>
    </row>
    <row r="26" s="1" customFormat="1" spans="1:10">
      <c r="A26" s="1" t="s">
        <v>405</v>
      </c>
      <c r="B26" s="1">
        <v>7.2738</v>
      </c>
      <c r="C26" s="1" t="s">
        <v>406</v>
      </c>
      <c r="D26" s="1" t="s">
        <v>407</v>
      </c>
      <c r="E26" s="1" t="s">
        <v>408</v>
      </c>
      <c r="F26" s="1">
        <v>6</v>
      </c>
      <c r="G26" s="1">
        <v>3</v>
      </c>
      <c r="H26" s="1">
        <v>385.807911608891</v>
      </c>
      <c r="I26" s="1">
        <v>436.428</v>
      </c>
      <c r="J26" s="1">
        <v>50.620088391109</v>
      </c>
    </row>
    <row r="27" s="1" customFormat="1" spans="1:10">
      <c r="A27" s="1" t="s">
        <v>409</v>
      </c>
      <c r="B27" s="1">
        <v>15.2845</v>
      </c>
      <c r="C27" s="1" t="s">
        <v>410</v>
      </c>
      <c r="D27" s="1" t="s">
        <v>411</v>
      </c>
      <c r="E27" s="1" t="s">
        <v>412</v>
      </c>
      <c r="F27" s="1">
        <v>31</v>
      </c>
      <c r="G27" s="1" t="s">
        <v>413</v>
      </c>
      <c r="H27" s="3">
        <v>729.982357971733</v>
      </c>
      <c r="I27" s="1">
        <v>917.07</v>
      </c>
      <c r="J27" s="1">
        <v>187.087642028267</v>
      </c>
    </row>
    <row r="28" s="1" customFormat="1" spans="1:10">
      <c r="A28" s="1" t="s">
        <v>414</v>
      </c>
      <c r="B28" s="1">
        <v>9.0919</v>
      </c>
      <c r="C28" s="1" t="s">
        <v>415</v>
      </c>
      <c r="D28" s="1" t="s">
        <v>416</v>
      </c>
      <c r="E28" s="1" t="s">
        <v>417</v>
      </c>
      <c r="F28" s="1">
        <v>1</v>
      </c>
      <c r="G28" s="1">
        <v>1</v>
      </c>
      <c r="H28" s="1">
        <v>645.080884390805</v>
      </c>
      <c r="I28" s="1">
        <v>545.514</v>
      </c>
      <c r="J28" s="1">
        <v>99.5668843908049</v>
      </c>
    </row>
    <row r="29" s="1" customFormat="1" spans="1:10">
      <c r="A29" s="1" t="s">
        <v>418</v>
      </c>
      <c r="B29" s="1">
        <v>7.1312</v>
      </c>
      <c r="C29" s="1" t="s">
        <v>419</v>
      </c>
      <c r="D29" s="1" t="s">
        <v>420</v>
      </c>
      <c r="E29" s="1" t="s">
        <v>421</v>
      </c>
      <c r="F29" s="1" t="s">
        <v>413</v>
      </c>
      <c r="G29" s="1" t="s">
        <v>413</v>
      </c>
      <c r="H29" s="1">
        <v>625.950407104574</v>
      </c>
      <c r="I29" s="1">
        <v>427.872</v>
      </c>
      <c r="J29" s="1">
        <v>198.078407104574</v>
      </c>
    </row>
    <row r="30" s="1" customFormat="1" spans="1:10">
      <c r="A30" s="1" t="s">
        <v>422</v>
      </c>
      <c r="B30" s="1">
        <v>13.3395</v>
      </c>
      <c r="C30" s="1" t="s">
        <v>423</v>
      </c>
      <c r="D30" s="1" t="s">
        <v>424</v>
      </c>
      <c r="E30" s="1" t="s">
        <v>425</v>
      </c>
      <c r="F30" s="1">
        <v>1</v>
      </c>
      <c r="G30" s="1">
        <v>1</v>
      </c>
      <c r="H30" s="1">
        <v>798.66721322553</v>
      </c>
      <c r="I30" s="1">
        <v>800.37</v>
      </c>
      <c r="J30" s="1">
        <v>1.70278677447004</v>
      </c>
    </row>
    <row r="31" s="1" customFormat="1" spans="1:10">
      <c r="A31" s="1" t="s">
        <v>426</v>
      </c>
      <c r="B31" s="1">
        <v>7.8827</v>
      </c>
      <c r="C31" s="1" t="s">
        <v>427</v>
      </c>
      <c r="D31" s="1" t="s">
        <v>428</v>
      </c>
      <c r="E31" s="1" t="s">
        <v>429</v>
      </c>
      <c r="F31" s="1">
        <v>3</v>
      </c>
      <c r="G31" s="1">
        <v>2</v>
      </c>
      <c r="H31" s="1">
        <v>461.538763816844</v>
      </c>
      <c r="I31" s="1">
        <v>472.962</v>
      </c>
      <c r="J31" s="1">
        <v>11.423236183156</v>
      </c>
    </row>
    <row r="32" s="1" customFormat="1" spans="1:10">
      <c r="A32" s="1" t="s">
        <v>430</v>
      </c>
      <c r="B32" s="1">
        <v>12.1406</v>
      </c>
      <c r="C32" s="1" t="s">
        <v>431</v>
      </c>
      <c r="D32" s="1" t="s">
        <v>432</v>
      </c>
      <c r="E32" s="1" t="s">
        <v>433</v>
      </c>
      <c r="F32" s="1">
        <v>2</v>
      </c>
      <c r="G32" s="1">
        <v>2</v>
      </c>
      <c r="H32" s="1">
        <v>760.581204112897</v>
      </c>
      <c r="I32" s="1">
        <v>728.436</v>
      </c>
      <c r="J32" s="1">
        <v>32.1452041128971</v>
      </c>
    </row>
    <row r="33" s="1" customFormat="1" spans="1:10">
      <c r="A33" s="1" t="s">
        <v>434</v>
      </c>
      <c r="B33" s="1">
        <v>9.9798</v>
      </c>
      <c r="C33" s="1" t="s">
        <v>435</v>
      </c>
      <c r="D33" s="1" t="s">
        <v>436</v>
      </c>
      <c r="E33" s="1" t="s">
        <v>437</v>
      </c>
      <c r="F33" s="1">
        <v>5</v>
      </c>
      <c r="G33" s="1">
        <v>4</v>
      </c>
      <c r="H33" s="1">
        <v>625.431884210374</v>
      </c>
      <c r="I33" s="1">
        <v>598.788</v>
      </c>
      <c r="J33" s="1">
        <v>26.6438842103742</v>
      </c>
    </row>
    <row r="34" s="1" customFormat="1" spans="1:10">
      <c r="A34" s="1" t="s">
        <v>438</v>
      </c>
      <c r="B34" s="1">
        <v>3.9636</v>
      </c>
      <c r="C34" s="1" t="s">
        <v>439</v>
      </c>
      <c r="D34" s="1" t="s">
        <v>440</v>
      </c>
      <c r="E34" s="1" t="s">
        <v>441</v>
      </c>
      <c r="F34" s="1">
        <v>11</v>
      </c>
      <c r="G34" s="1">
        <v>9</v>
      </c>
      <c r="H34" s="20" t="s">
        <v>442</v>
      </c>
      <c r="I34" s="1">
        <v>237.816</v>
      </c>
      <c r="J34" s="1">
        <v>95.84963641238</v>
      </c>
    </row>
    <row r="35" s="1" customFormat="1" spans="1:10">
      <c r="A35" s="1" t="s">
        <v>443</v>
      </c>
      <c r="B35" s="1">
        <v>7.9603</v>
      </c>
      <c r="C35" s="1" t="s">
        <v>444</v>
      </c>
      <c r="D35" s="1" t="s">
        <v>445</v>
      </c>
      <c r="E35" s="1" t="s">
        <v>446</v>
      </c>
      <c r="F35" s="1">
        <v>3</v>
      </c>
      <c r="G35" s="1">
        <v>2</v>
      </c>
      <c r="H35" s="1">
        <v>452.465935838524</v>
      </c>
      <c r="I35" s="1">
        <v>477.618</v>
      </c>
      <c r="J35" s="1">
        <v>25.152064161476</v>
      </c>
    </row>
    <row r="36" s="1" customFormat="1" spans="1:10">
      <c r="A36" s="1" t="s">
        <v>447</v>
      </c>
      <c r="B36" s="1">
        <v>11.915</v>
      </c>
      <c r="C36" s="1" t="s">
        <v>448</v>
      </c>
      <c r="D36" s="1" t="s">
        <v>449</v>
      </c>
      <c r="E36" s="1" t="s">
        <v>450</v>
      </c>
      <c r="F36" s="1">
        <v>3</v>
      </c>
      <c r="G36" s="1">
        <v>3</v>
      </c>
      <c r="H36" s="1">
        <v>681.668363535877</v>
      </c>
      <c r="I36" s="1">
        <v>714.9</v>
      </c>
      <c r="J36" s="1">
        <v>33.231636464123</v>
      </c>
    </row>
    <row r="37" s="1" customFormat="1" spans="1:10">
      <c r="A37" s="1" t="s">
        <v>451</v>
      </c>
      <c r="B37" s="1">
        <v>20.1819</v>
      </c>
      <c r="C37" s="1" t="s">
        <v>452</v>
      </c>
      <c r="D37" s="1" t="s">
        <v>453</v>
      </c>
      <c r="E37" s="1" t="s">
        <v>454</v>
      </c>
      <c r="F37" s="1">
        <v>1</v>
      </c>
      <c r="G37" s="1">
        <v>1</v>
      </c>
      <c r="H37" s="20" t="s">
        <v>455</v>
      </c>
      <c r="I37" s="1">
        <v>1210.914</v>
      </c>
      <c r="J37" s="1">
        <v>113.29772200937</v>
      </c>
    </row>
    <row r="38" s="1" customFormat="1" spans="1:10">
      <c r="A38" s="1" t="s">
        <v>456</v>
      </c>
      <c r="B38" s="1">
        <v>17.5933</v>
      </c>
      <c r="C38" s="1" t="s">
        <v>457</v>
      </c>
      <c r="D38" s="1" t="s">
        <v>458</v>
      </c>
      <c r="E38" s="1" t="s">
        <v>459</v>
      </c>
      <c r="F38" s="1">
        <v>21</v>
      </c>
      <c r="G38" s="1">
        <v>17</v>
      </c>
      <c r="H38" s="1">
        <v>925.679440817354</v>
      </c>
      <c r="I38" s="1">
        <v>1055.598</v>
      </c>
      <c r="J38" s="1">
        <v>129.918559182646</v>
      </c>
    </row>
    <row r="39" s="1" customFormat="1" spans="1:10">
      <c r="A39" s="1" t="s">
        <v>460</v>
      </c>
      <c r="B39" s="1">
        <v>14.5131</v>
      </c>
      <c r="C39" s="1" t="s">
        <v>461</v>
      </c>
      <c r="D39" s="1" t="s">
        <v>462</v>
      </c>
      <c r="E39" s="1" t="s">
        <v>463</v>
      </c>
      <c r="F39" s="1">
        <v>1</v>
      </c>
      <c r="G39" s="1">
        <v>1</v>
      </c>
      <c r="H39" s="1">
        <v>770.185524740522</v>
      </c>
      <c r="I39" s="1">
        <v>870.786</v>
      </c>
      <c r="J39" s="1">
        <v>100.600475259478</v>
      </c>
    </row>
    <row r="40" s="1" customFormat="1" spans="1:10">
      <c r="A40" s="1" t="s">
        <v>464</v>
      </c>
      <c r="B40" s="1">
        <v>12.6787</v>
      </c>
      <c r="C40" s="1" t="s">
        <v>465</v>
      </c>
      <c r="D40" s="1" t="s">
        <v>428</v>
      </c>
      <c r="E40" s="1" t="s">
        <v>466</v>
      </c>
      <c r="F40" s="1">
        <v>1</v>
      </c>
      <c r="G40" s="1">
        <v>1</v>
      </c>
      <c r="H40" s="1">
        <v>761.926947172415</v>
      </c>
      <c r="I40" s="1">
        <v>760.722</v>
      </c>
      <c r="J40" s="1">
        <v>1.20494717241502</v>
      </c>
    </row>
    <row r="41" s="1" customFormat="1" spans="1:10">
      <c r="A41" s="1" t="s">
        <v>467</v>
      </c>
      <c r="B41" s="1">
        <v>11.4152</v>
      </c>
      <c r="C41" s="1" t="s">
        <v>468</v>
      </c>
      <c r="D41" s="1" t="s">
        <v>469</v>
      </c>
      <c r="E41" s="1" t="s">
        <v>470</v>
      </c>
      <c r="F41" s="1">
        <v>45</v>
      </c>
      <c r="G41" s="1">
        <v>30</v>
      </c>
      <c r="H41" s="1">
        <v>628.137569812866</v>
      </c>
      <c r="I41" s="1">
        <v>684.912</v>
      </c>
      <c r="J41" s="1">
        <v>56.774430187134</v>
      </c>
    </row>
    <row r="42" s="1" customFormat="1" spans="1:10">
      <c r="A42" s="1" t="s">
        <v>471</v>
      </c>
      <c r="B42" s="1">
        <v>10.1798</v>
      </c>
      <c r="C42" s="1" t="s">
        <v>472</v>
      </c>
      <c r="D42" s="1" t="s">
        <v>473</v>
      </c>
      <c r="E42" s="1" t="s">
        <v>474</v>
      </c>
      <c r="F42" s="1">
        <v>37</v>
      </c>
      <c r="G42" s="1">
        <v>19</v>
      </c>
      <c r="H42" s="1">
        <v>608.020397297844</v>
      </c>
      <c r="I42" s="1">
        <v>610.788</v>
      </c>
      <c r="J42" s="1">
        <v>2.76760270215595</v>
      </c>
    </row>
    <row r="43" s="1" customFormat="1" spans="1:10">
      <c r="A43" s="1" t="s">
        <v>475</v>
      </c>
      <c r="B43" s="1">
        <v>18.7543</v>
      </c>
      <c r="C43" s="1" t="s">
        <v>476</v>
      </c>
      <c r="D43" s="1" t="s">
        <v>477</v>
      </c>
      <c r="E43" s="1" t="s">
        <v>478</v>
      </c>
      <c r="F43" s="1">
        <v>11</v>
      </c>
      <c r="G43" s="1">
        <v>8</v>
      </c>
      <c r="H43" s="1">
        <v>1184.35554253341</v>
      </c>
      <c r="I43" s="1">
        <v>1125.258</v>
      </c>
      <c r="J43" s="1">
        <v>59.09754253341</v>
      </c>
    </row>
    <row r="44" s="1" customFormat="1" spans="1:10">
      <c r="A44" s="1" t="s">
        <v>479</v>
      </c>
      <c r="B44" s="1">
        <v>6.3649</v>
      </c>
      <c r="C44" s="1" t="s">
        <v>480</v>
      </c>
      <c r="D44" s="1" t="s">
        <v>481</v>
      </c>
      <c r="E44" s="1" t="s">
        <v>482</v>
      </c>
      <c r="F44" s="1">
        <v>1</v>
      </c>
      <c r="G44" s="1">
        <v>1</v>
      </c>
      <c r="H44" s="1">
        <v>332.315639062124</v>
      </c>
      <c r="I44" s="1">
        <v>381.894</v>
      </c>
      <c r="J44" s="1">
        <v>49.578360937876</v>
      </c>
    </row>
    <row r="45" s="1" customFormat="1" spans="1:10">
      <c r="A45" s="1" t="s">
        <v>483</v>
      </c>
      <c r="B45" s="1">
        <v>13.9576</v>
      </c>
      <c r="C45" s="1" t="s">
        <v>484</v>
      </c>
      <c r="D45" s="1" t="s">
        <v>485</v>
      </c>
      <c r="E45" s="1" t="s">
        <v>486</v>
      </c>
      <c r="F45" s="1">
        <v>15</v>
      </c>
      <c r="G45" s="1">
        <v>15</v>
      </c>
      <c r="H45" s="1">
        <v>938.253892704039</v>
      </c>
      <c r="I45" s="1">
        <v>837.456</v>
      </c>
      <c r="J45" s="1">
        <v>100.797892704039</v>
      </c>
    </row>
    <row r="46" s="1" customFormat="1" spans="1:10">
      <c r="A46" s="1" t="s">
        <v>487</v>
      </c>
      <c r="B46" s="1">
        <v>8.8933</v>
      </c>
      <c r="C46" s="1" t="s">
        <v>488</v>
      </c>
      <c r="D46" s="1" t="s">
        <v>489</v>
      </c>
      <c r="E46" s="1" t="s">
        <v>490</v>
      </c>
      <c r="F46" s="1">
        <v>2</v>
      </c>
      <c r="G46" s="1">
        <v>2</v>
      </c>
      <c r="H46" s="1">
        <v>564.53163223146</v>
      </c>
      <c r="I46" s="1">
        <v>533.598</v>
      </c>
      <c r="J46" s="1">
        <v>30.93363223146</v>
      </c>
    </row>
    <row r="47" s="1" customFormat="1" spans="1:10">
      <c r="A47" s="1" t="s">
        <v>491</v>
      </c>
      <c r="B47" s="1">
        <v>8.9232</v>
      </c>
      <c r="C47" s="1" t="s">
        <v>492</v>
      </c>
      <c r="D47" s="1" t="s">
        <v>387</v>
      </c>
      <c r="E47" s="1" t="s">
        <v>493</v>
      </c>
      <c r="F47" s="1">
        <v>5</v>
      </c>
      <c r="G47" s="1">
        <v>2</v>
      </c>
      <c r="H47" s="1">
        <v>543.566487330375</v>
      </c>
      <c r="I47" s="1">
        <v>535.392</v>
      </c>
      <c r="J47" s="1">
        <v>8.17448733037509</v>
      </c>
    </row>
    <row r="48" s="1" customFormat="1" spans="1:10">
      <c r="A48" s="1" t="s">
        <v>494</v>
      </c>
      <c r="B48" s="1">
        <v>6.734</v>
      </c>
      <c r="C48" s="1" t="s">
        <v>495</v>
      </c>
      <c r="D48" s="1" t="s">
        <v>496</v>
      </c>
      <c r="E48" s="1" t="s">
        <v>497</v>
      </c>
      <c r="F48" s="1">
        <v>1</v>
      </c>
      <c r="G48" s="1">
        <v>1</v>
      </c>
      <c r="H48" s="1">
        <v>400.460261562625</v>
      </c>
      <c r="I48" s="1">
        <v>404.04</v>
      </c>
      <c r="J48" s="1">
        <v>3.579738437375</v>
      </c>
    </row>
    <row r="49" s="1" customFormat="1" spans="1:10">
      <c r="A49" s="1" t="s">
        <v>498</v>
      </c>
      <c r="B49" s="1">
        <v>6.7444</v>
      </c>
      <c r="C49" s="1" t="s">
        <v>499</v>
      </c>
      <c r="D49" s="1" t="s">
        <v>500</v>
      </c>
      <c r="E49" s="1" t="s">
        <v>501</v>
      </c>
      <c r="F49" s="1">
        <v>1</v>
      </c>
      <c r="G49" s="1" t="s">
        <v>413</v>
      </c>
      <c r="H49" s="1">
        <v>604.051535144712</v>
      </c>
      <c r="I49" s="1">
        <v>404.664</v>
      </c>
      <c r="J49" s="1">
        <v>199.387535144712</v>
      </c>
    </row>
    <row r="50" s="1" customFormat="1" spans="1:10">
      <c r="A50" s="1" t="s">
        <v>502</v>
      </c>
      <c r="B50" s="1">
        <v>6.4738</v>
      </c>
      <c r="C50" s="1" t="s">
        <v>503</v>
      </c>
      <c r="D50" s="1" t="s">
        <v>504</v>
      </c>
      <c r="E50" s="1" t="s">
        <v>505</v>
      </c>
      <c r="F50" s="1">
        <v>1</v>
      </c>
      <c r="G50" s="1">
        <v>1</v>
      </c>
      <c r="H50" s="1">
        <v>419.237383959586</v>
      </c>
      <c r="I50" s="1">
        <v>388.428</v>
      </c>
      <c r="J50" s="1">
        <v>30.809383959586</v>
      </c>
    </row>
    <row r="51" s="1" customFormat="1" spans="1:10">
      <c r="A51" s="1" t="s">
        <v>506</v>
      </c>
      <c r="B51" s="1">
        <v>6.8159</v>
      </c>
      <c r="C51" s="1" t="s">
        <v>507</v>
      </c>
      <c r="D51" s="1" t="s">
        <v>508</v>
      </c>
      <c r="E51" s="1" t="s">
        <v>509</v>
      </c>
      <c r="F51" s="1">
        <v>11</v>
      </c>
      <c r="G51" s="1">
        <v>11</v>
      </c>
      <c r="H51" s="1">
        <v>430.936397928201</v>
      </c>
      <c r="I51" s="1">
        <v>408.954</v>
      </c>
      <c r="J51" s="1">
        <v>21.982397928201</v>
      </c>
    </row>
    <row r="52" s="1" customFormat="1" spans="1:10">
      <c r="A52" s="1" t="s">
        <v>510</v>
      </c>
      <c r="B52" s="1">
        <v>6.5081</v>
      </c>
      <c r="C52" s="1" t="s">
        <v>511</v>
      </c>
      <c r="D52" s="1" t="s">
        <v>512</v>
      </c>
      <c r="E52" s="1" t="s">
        <v>513</v>
      </c>
      <c r="F52" s="1">
        <v>1</v>
      </c>
      <c r="G52" s="1">
        <v>1</v>
      </c>
      <c r="H52" s="1">
        <v>413.072014642217</v>
      </c>
      <c r="I52" s="1">
        <v>390.486</v>
      </c>
      <c r="J52" s="1">
        <v>22.586014642217</v>
      </c>
    </row>
    <row r="53" s="1" customFormat="1" spans="1:10">
      <c r="A53" s="1" t="s">
        <v>514</v>
      </c>
      <c r="B53" s="1">
        <v>16.3487</v>
      </c>
      <c r="C53" s="1" t="s">
        <v>515</v>
      </c>
      <c r="D53" s="1" t="s">
        <v>516</v>
      </c>
      <c r="E53" s="1" t="s">
        <v>517</v>
      </c>
      <c r="F53" s="1">
        <v>8</v>
      </c>
      <c r="G53" s="1">
        <v>3</v>
      </c>
      <c r="H53" s="1">
        <v>871.374731514481</v>
      </c>
      <c r="I53" s="1">
        <v>980.922</v>
      </c>
      <c r="J53" s="1">
        <v>109.547268485519</v>
      </c>
    </row>
    <row r="54" s="1" customFormat="1" spans="1:10">
      <c r="A54" s="1" t="s">
        <v>518</v>
      </c>
      <c r="B54" s="1">
        <v>8.6624</v>
      </c>
      <c r="C54" s="1" t="s">
        <v>519</v>
      </c>
      <c r="D54" s="1" t="s">
        <v>520</v>
      </c>
      <c r="E54" s="1" t="s">
        <v>521</v>
      </c>
      <c r="F54" s="1">
        <v>6</v>
      </c>
      <c r="G54" s="1">
        <v>3</v>
      </c>
      <c r="H54" s="1">
        <v>558.066830760749</v>
      </c>
      <c r="I54" s="1">
        <v>519.744</v>
      </c>
      <c r="J54" s="1">
        <v>38.322830760749</v>
      </c>
    </row>
    <row r="55" s="1" customFormat="1" spans="1:10">
      <c r="A55" s="1" t="s">
        <v>522</v>
      </c>
      <c r="B55" s="1">
        <v>9.8068</v>
      </c>
      <c r="C55" s="1" t="s">
        <v>523</v>
      </c>
      <c r="D55" s="1" t="s">
        <v>524</v>
      </c>
      <c r="E55" s="1" t="s">
        <v>525</v>
      </c>
      <c r="F55" s="1">
        <v>1</v>
      </c>
      <c r="G55" s="1">
        <v>1</v>
      </c>
      <c r="H55" s="1">
        <v>763.140435010546</v>
      </c>
      <c r="I55" s="1">
        <v>588.408</v>
      </c>
      <c r="J55" s="1">
        <v>174.732435010546</v>
      </c>
    </row>
    <row r="56" s="1" customFormat="1" spans="1:10">
      <c r="A56" s="1" t="s">
        <v>526</v>
      </c>
      <c r="B56" s="1">
        <v>9.6233</v>
      </c>
      <c r="C56" s="1" t="s">
        <v>527</v>
      </c>
      <c r="D56" s="1" t="s">
        <v>528</v>
      </c>
      <c r="E56" s="1" t="s">
        <v>529</v>
      </c>
      <c r="F56" s="1">
        <v>1</v>
      </c>
      <c r="G56" s="1" t="s">
        <v>413</v>
      </c>
      <c r="H56" s="1">
        <v>307.898936509984</v>
      </c>
      <c r="I56" s="1">
        <v>577.398</v>
      </c>
      <c r="J56" s="1">
        <v>269.499063490016</v>
      </c>
    </row>
    <row r="57" s="1" customFormat="1" spans="1:10">
      <c r="A57" s="1" t="s">
        <v>530</v>
      </c>
      <c r="B57" s="1">
        <v>12.5306</v>
      </c>
      <c r="C57" s="1" t="s">
        <v>531</v>
      </c>
      <c r="D57" s="1" t="s">
        <v>532</v>
      </c>
      <c r="E57" s="1" t="s">
        <v>533</v>
      </c>
      <c r="F57" s="1">
        <v>1</v>
      </c>
      <c r="G57" s="1">
        <v>1</v>
      </c>
      <c r="H57" s="1">
        <v>823.696092573991</v>
      </c>
      <c r="I57" s="1">
        <v>751.836</v>
      </c>
      <c r="J57" s="1">
        <v>71.860092573991</v>
      </c>
    </row>
    <row r="58" s="1" customFormat="1" spans="1:10">
      <c r="A58" s="1" t="s">
        <v>534</v>
      </c>
      <c r="B58" s="1">
        <v>11.9297</v>
      </c>
      <c r="C58" s="1" t="s">
        <v>535</v>
      </c>
      <c r="D58" s="1" t="s">
        <v>536</v>
      </c>
      <c r="E58" s="1" t="s">
        <v>537</v>
      </c>
      <c r="F58" s="1">
        <v>1</v>
      </c>
      <c r="G58" s="1">
        <v>1</v>
      </c>
      <c r="H58" s="1">
        <v>726.906876671664</v>
      </c>
      <c r="I58" s="1">
        <v>715.782</v>
      </c>
      <c r="J58" s="1">
        <v>11.124876671664</v>
      </c>
    </row>
    <row r="59" s="1" customFormat="1" spans="1:10">
      <c r="A59" s="1" t="s">
        <v>538</v>
      </c>
      <c r="B59" s="1">
        <v>2.9105</v>
      </c>
      <c r="C59" s="1" t="s">
        <v>539</v>
      </c>
      <c r="D59" s="1" t="s">
        <v>540</v>
      </c>
      <c r="E59" s="1" t="s">
        <v>541</v>
      </c>
      <c r="F59" s="1">
        <v>1</v>
      </c>
      <c r="G59" s="1">
        <v>1</v>
      </c>
      <c r="H59" s="1">
        <v>47.5843954555848</v>
      </c>
      <c r="I59" s="1">
        <v>174.63</v>
      </c>
      <c r="J59" s="1">
        <v>127.045604544415</v>
      </c>
    </row>
    <row r="60" s="1" customFormat="1" spans="1:10">
      <c r="A60" s="1" t="s">
        <v>542</v>
      </c>
      <c r="B60" s="1">
        <v>7.2488</v>
      </c>
      <c r="C60" s="1" t="s">
        <v>543</v>
      </c>
      <c r="D60" s="1" t="s">
        <v>544</v>
      </c>
      <c r="E60" s="1" t="s">
        <v>545</v>
      </c>
      <c r="F60" s="1">
        <v>1</v>
      </c>
      <c r="G60" s="1">
        <v>1</v>
      </c>
      <c r="H60" s="1">
        <v>378.471406901336</v>
      </c>
      <c r="I60" s="1">
        <v>434.928</v>
      </c>
      <c r="J60" s="1">
        <v>56.456593098664</v>
      </c>
    </row>
    <row r="61" s="1" customFormat="1" spans="1:10">
      <c r="A61" s="1" t="s">
        <v>546</v>
      </c>
      <c r="B61" s="1">
        <v>2.8352</v>
      </c>
      <c r="C61" s="1" t="s">
        <v>547</v>
      </c>
      <c r="D61" s="1" t="s">
        <v>548</v>
      </c>
      <c r="E61" s="1" t="s">
        <v>549</v>
      </c>
      <c r="F61" s="1">
        <v>3</v>
      </c>
      <c r="G61" s="1">
        <v>2</v>
      </c>
      <c r="H61" s="1">
        <v>82.0807504870755</v>
      </c>
      <c r="I61" s="1">
        <v>170.112</v>
      </c>
      <c r="J61" s="1">
        <v>88.0312495129245</v>
      </c>
    </row>
    <row r="62" s="1" customFormat="1" spans="1:10">
      <c r="A62" s="1" t="s">
        <v>550</v>
      </c>
      <c r="B62" s="1">
        <v>17.6685</v>
      </c>
      <c r="C62" s="1" t="s">
        <v>551</v>
      </c>
      <c r="D62" s="1" t="s">
        <v>552</v>
      </c>
      <c r="E62" s="1" t="s">
        <v>553</v>
      </c>
      <c r="F62" s="1">
        <v>2</v>
      </c>
      <c r="G62" s="1">
        <v>1</v>
      </c>
      <c r="H62" s="1">
        <v>906.686451317361</v>
      </c>
      <c r="I62" s="1">
        <v>1060.11</v>
      </c>
      <c r="J62" s="1">
        <v>153.423548682639</v>
      </c>
    </row>
    <row r="63" s="1" customFormat="1" spans="1:10">
      <c r="A63" s="1" t="s">
        <v>554</v>
      </c>
      <c r="B63" s="1">
        <v>16.4865</v>
      </c>
      <c r="C63" s="1" t="s">
        <v>555</v>
      </c>
      <c r="D63" s="1" t="s">
        <v>556</v>
      </c>
      <c r="E63" s="1" t="s">
        <v>557</v>
      </c>
      <c r="F63" s="1">
        <v>5</v>
      </c>
      <c r="G63" s="1">
        <v>4</v>
      </c>
      <c r="H63" s="1">
        <v>1088.93078160542</v>
      </c>
      <c r="I63" s="1">
        <v>989.19</v>
      </c>
      <c r="J63" s="1">
        <v>99.74078160542</v>
      </c>
    </row>
    <row r="64" s="1" customFormat="1" spans="1:10">
      <c r="A64" s="1" t="s">
        <v>558</v>
      </c>
      <c r="B64" s="1">
        <v>13.2496</v>
      </c>
      <c r="C64" s="1" t="s">
        <v>559</v>
      </c>
      <c r="D64" s="1" t="s">
        <v>560</v>
      </c>
      <c r="E64" s="1" t="s">
        <v>561</v>
      </c>
      <c r="F64" s="1" t="s">
        <v>413</v>
      </c>
      <c r="G64" s="1" t="s">
        <v>413</v>
      </c>
      <c r="H64" s="3">
        <v>622.249405888854</v>
      </c>
      <c r="I64" s="1">
        <v>794.976</v>
      </c>
      <c r="J64" s="1">
        <v>172.726594111146</v>
      </c>
    </row>
    <row r="65" s="1" customFormat="1" spans="1:10">
      <c r="A65" s="1" t="s">
        <v>562</v>
      </c>
      <c r="B65" s="1">
        <v>8.9225</v>
      </c>
      <c r="C65" s="1" t="s">
        <v>563</v>
      </c>
      <c r="D65" s="1" t="s">
        <v>564</v>
      </c>
      <c r="E65" s="1" t="s">
        <v>565</v>
      </c>
      <c r="F65" s="1">
        <v>20</v>
      </c>
      <c r="G65" s="1">
        <v>20</v>
      </c>
      <c r="H65" s="1">
        <v>574.513932598095</v>
      </c>
      <c r="I65" s="1">
        <v>535.35</v>
      </c>
      <c r="J65" s="1">
        <v>39.1639325980951</v>
      </c>
    </row>
    <row r="66" s="1" customFormat="1" spans="1:10">
      <c r="A66" s="1" t="s">
        <v>566</v>
      </c>
      <c r="B66" s="1">
        <v>5.7126</v>
      </c>
      <c r="C66" s="1" t="s">
        <v>567</v>
      </c>
      <c r="D66" s="1" t="s">
        <v>568</v>
      </c>
      <c r="E66" s="1" t="s">
        <v>569</v>
      </c>
      <c r="F66" s="1">
        <v>2</v>
      </c>
      <c r="G66" s="1">
        <v>1</v>
      </c>
      <c r="H66" s="1">
        <v>311.723525748526</v>
      </c>
      <c r="I66" s="1">
        <v>342.756</v>
      </c>
      <c r="J66" s="1">
        <v>31.032474251474</v>
      </c>
    </row>
    <row r="67" s="1" customFormat="1" spans="1:10">
      <c r="A67" s="1" t="s">
        <v>570</v>
      </c>
      <c r="B67" s="1">
        <v>7.2344</v>
      </c>
      <c r="C67" s="1" t="s">
        <v>571</v>
      </c>
      <c r="D67" s="1" t="s">
        <v>508</v>
      </c>
      <c r="E67" s="1" t="s">
        <v>572</v>
      </c>
      <c r="F67" s="1">
        <v>1</v>
      </c>
      <c r="G67" s="1">
        <v>1</v>
      </c>
      <c r="H67" s="1">
        <v>426.669693700642</v>
      </c>
      <c r="I67" s="1">
        <v>434.064</v>
      </c>
      <c r="J67" s="1">
        <v>7.39430629935805</v>
      </c>
    </row>
    <row r="68" s="1" customFormat="1" spans="1:10">
      <c r="A68" s="1" t="s">
        <v>573</v>
      </c>
      <c r="B68" s="1">
        <v>6.6945</v>
      </c>
      <c r="C68" s="1" t="s">
        <v>574</v>
      </c>
      <c r="D68" s="1" t="s">
        <v>575</v>
      </c>
      <c r="E68" s="1" t="s">
        <v>576</v>
      </c>
      <c r="F68" s="1">
        <v>1</v>
      </c>
      <c r="G68" s="1">
        <v>1</v>
      </c>
      <c r="H68" s="1">
        <v>389.787908311821</v>
      </c>
      <c r="I68" s="1">
        <v>401.67</v>
      </c>
      <c r="J68" s="1">
        <v>11.8820916881789</v>
      </c>
    </row>
    <row r="69" s="1" customFormat="1" spans="1:10">
      <c r="A69" s="1" t="s">
        <v>577</v>
      </c>
      <c r="B69" s="1">
        <v>14.5726</v>
      </c>
      <c r="C69" s="1" t="s">
        <v>578</v>
      </c>
      <c r="D69" s="1" t="s">
        <v>579</v>
      </c>
      <c r="E69" s="1" t="s">
        <v>580</v>
      </c>
      <c r="F69" s="1">
        <v>2</v>
      </c>
      <c r="G69" s="1">
        <v>1</v>
      </c>
      <c r="H69" s="1">
        <v>750.491272559149</v>
      </c>
      <c r="I69" s="1">
        <v>874.356</v>
      </c>
      <c r="J69" s="1">
        <v>123.864727440851</v>
      </c>
    </row>
    <row r="70" s="1" customFormat="1" spans="1:10">
      <c r="A70" s="1" t="s">
        <v>581</v>
      </c>
      <c r="B70" s="1">
        <v>9.9016</v>
      </c>
      <c r="C70" s="1" t="s">
        <v>582</v>
      </c>
      <c r="D70" s="1" t="s">
        <v>403</v>
      </c>
      <c r="E70" s="1" t="s">
        <v>583</v>
      </c>
      <c r="F70" s="1">
        <v>23</v>
      </c>
      <c r="G70" s="1">
        <v>23</v>
      </c>
      <c r="H70" s="1">
        <v>597.37378232598</v>
      </c>
      <c r="I70" s="1">
        <v>594.096</v>
      </c>
      <c r="J70" s="1">
        <v>3.27778232597996</v>
      </c>
    </row>
    <row r="71" s="1" customFormat="1" spans="1:10">
      <c r="A71" s="1" t="s">
        <v>584</v>
      </c>
      <c r="B71" s="1">
        <v>21.2364</v>
      </c>
      <c r="C71" s="1" t="s">
        <v>585</v>
      </c>
      <c r="D71" s="1" t="s">
        <v>586</v>
      </c>
      <c r="E71" s="1" t="s">
        <v>587</v>
      </c>
      <c r="F71" s="1">
        <v>5</v>
      </c>
      <c r="G71" s="1">
        <v>5</v>
      </c>
      <c r="H71" s="1">
        <v>1213.18650167267</v>
      </c>
      <c r="I71" s="1">
        <v>1274.184</v>
      </c>
      <c r="J71" s="1">
        <v>60.99749832733</v>
      </c>
    </row>
    <row r="72" s="1" customFormat="1" spans="1:10">
      <c r="A72" s="1" t="s">
        <v>588</v>
      </c>
      <c r="B72" s="1">
        <v>15.3307</v>
      </c>
      <c r="C72" s="1" t="s">
        <v>589</v>
      </c>
      <c r="D72" s="1" t="s">
        <v>590</v>
      </c>
      <c r="E72" s="1" t="s">
        <v>591</v>
      </c>
      <c r="F72" s="1">
        <v>3</v>
      </c>
      <c r="G72" s="1">
        <v>1</v>
      </c>
      <c r="H72" s="20" t="s">
        <v>592</v>
      </c>
      <c r="I72" s="1">
        <v>919.842</v>
      </c>
      <c r="J72" s="1">
        <v>124.66112671173</v>
      </c>
    </row>
    <row r="73" s="1" customFormat="1" spans="1:10">
      <c r="A73" s="1" t="s">
        <v>593</v>
      </c>
      <c r="B73" s="1">
        <v>9.0892</v>
      </c>
      <c r="C73" s="1" t="s">
        <v>594</v>
      </c>
      <c r="D73" s="1" t="s">
        <v>595</v>
      </c>
      <c r="E73" s="1" t="s">
        <v>596</v>
      </c>
      <c r="F73" s="1">
        <v>1</v>
      </c>
      <c r="G73" s="1">
        <v>1</v>
      </c>
      <c r="H73" s="1">
        <v>556.249546810755</v>
      </c>
      <c r="I73" s="1">
        <v>545.352</v>
      </c>
      <c r="J73" s="1">
        <v>10.897546810755</v>
      </c>
    </row>
    <row r="74" s="1" customFormat="1" spans="1:10">
      <c r="A74" s="1" t="s">
        <v>597</v>
      </c>
      <c r="B74" s="1">
        <v>20.1307</v>
      </c>
      <c r="C74" s="1" t="s">
        <v>598</v>
      </c>
      <c r="D74" s="1" t="s">
        <v>599</v>
      </c>
      <c r="E74" s="1" t="s">
        <v>600</v>
      </c>
      <c r="F74" s="1">
        <v>3</v>
      </c>
      <c r="G74" s="1">
        <v>3</v>
      </c>
      <c r="H74" s="1">
        <v>1213.02448548648</v>
      </c>
      <c r="I74" s="1">
        <v>1207.842</v>
      </c>
      <c r="J74" s="1">
        <v>5.18248548647989</v>
      </c>
    </row>
    <row r="75" s="1" customFormat="1" spans="1:10">
      <c r="A75" s="1" t="s">
        <v>601</v>
      </c>
      <c r="B75" s="1">
        <v>12.5615</v>
      </c>
      <c r="C75" s="1" t="s">
        <v>602</v>
      </c>
      <c r="D75" s="1" t="s">
        <v>603</v>
      </c>
      <c r="E75" s="1" t="s">
        <v>604</v>
      </c>
      <c r="F75" s="1">
        <v>26</v>
      </c>
      <c r="G75" s="1">
        <v>26</v>
      </c>
      <c r="H75" s="1">
        <v>728.409088247099</v>
      </c>
      <c r="I75" s="1">
        <v>753.69</v>
      </c>
      <c r="J75" s="1">
        <v>25.280911752901</v>
      </c>
    </row>
    <row r="76" s="1" customFormat="1" spans="1:10">
      <c r="A76" s="1" t="s">
        <v>605</v>
      </c>
      <c r="B76" s="1">
        <v>12.2245</v>
      </c>
      <c r="C76" s="1" t="s">
        <v>606</v>
      </c>
      <c r="D76" s="1" t="s">
        <v>607</v>
      </c>
      <c r="E76" s="1" t="s">
        <v>608</v>
      </c>
      <c r="F76" s="1">
        <v>1</v>
      </c>
      <c r="G76" s="1">
        <v>1</v>
      </c>
      <c r="H76" s="1">
        <v>907.543651630637</v>
      </c>
      <c r="I76" s="1">
        <v>733.47</v>
      </c>
      <c r="J76" s="1">
        <v>174.073651630637</v>
      </c>
    </row>
    <row r="77" s="1" customFormat="1" spans="1:10">
      <c r="A77" s="1" t="s">
        <v>609</v>
      </c>
      <c r="B77" s="1">
        <v>7.2933</v>
      </c>
      <c r="C77" s="1" t="s">
        <v>610</v>
      </c>
      <c r="D77" s="1" t="s">
        <v>611</v>
      </c>
      <c r="E77" s="1" t="s">
        <v>612</v>
      </c>
      <c r="F77" s="1">
        <v>6</v>
      </c>
      <c r="G77" s="1">
        <v>4</v>
      </c>
      <c r="H77" s="1">
        <v>541.176632156608</v>
      </c>
      <c r="I77" s="1">
        <v>437.598</v>
      </c>
      <c r="J77" s="1">
        <v>103.578632156608</v>
      </c>
    </row>
    <row r="78" s="1" customFormat="1" spans="1:10">
      <c r="A78" s="1" t="s">
        <v>613</v>
      </c>
      <c r="B78" s="1">
        <v>8.6596</v>
      </c>
      <c r="C78" s="1" t="s">
        <v>614</v>
      </c>
      <c r="D78" s="1" t="s">
        <v>615</v>
      </c>
      <c r="E78" s="1" t="s">
        <v>616</v>
      </c>
      <c r="F78" s="1">
        <v>3</v>
      </c>
      <c r="G78" s="1">
        <v>3</v>
      </c>
      <c r="H78" s="1">
        <v>494.784987179736</v>
      </c>
      <c r="I78" s="1">
        <v>519.576</v>
      </c>
      <c r="J78" s="1">
        <v>24.7910128202639</v>
      </c>
    </row>
    <row r="79" s="1" customFormat="1" spans="1:10">
      <c r="A79" s="1" t="s">
        <v>617</v>
      </c>
      <c r="B79" s="1">
        <v>4.3655</v>
      </c>
      <c r="C79" s="1" t="s">
        <v>618</v>
      </c>
      <c r="D79" s="1" t="s">
        <v>619</v>
      </c>
      <c r="E79" s="1" t="s">
        <v>620</v>
      </c>
      <c r="F79" s="1">
        <v>1</v>
      </c>
      <c r="G79" s="1">
        <v>1</v>
      </c>
      <c r="H79" s="1">
        <v>325.576782326972</v>
      </c>
      <c r="I79" s="1">
        <v>261.93</v>
      </c>
      <c r="J79" s="1">
        <v>63.646782326972</v>
      </c>
    </row>
    <row r="80" s="1" customFormat="1" spans="1:10">
      <c r="A80" s="1" t="s">
        <v>621</v>
      </c>
      <c r="B80" s="1">
        <v>4.751</v>
      </c>
      <c r="C80" s="1" t="s">
        <v>622</v>
      </c>
      <c r="D80" s="1" t="s">
        <v>623</v>
      </c>
      <c r="E80" s="1" t="s">
        <v>624</v>
      </c>
      <c r="F80" s="1">
        <v>1</v>
      </c>
      <c r="G80" s="1">
        <v>1</v>
      </c>
      <c r="H80" s="1">
        <v>319.115109859622</v>
      </c>
      <c r="I80" s="1">
        <v>285.06</v>
      </c>
      <c r="J80" s="1">
        <v>34.055109859622</v>
      </c>
    </row>
    <row r="81" s="1" customFormat="1" spans="1:10">
      <c r="A81" s="1" t="s">
        <v>625</v>
      </c>
      <c r="B81" s="1">
        <v>5.4359</v>
      </c>
      <c r="C81" s="1" t="s">
        <v>626</v>
      </c>
      <c r="D81" s="1" t="s">
        <v>627</v>
      </c>
      <c r="E81" s="1" t="s">
        <v>628</v>
      </c>
      <c r="F81" s="1">
        <v>3</v>
      </c>
      <c r="G81" s="1">
        <v>3</v>
      </c>
      <c r="H81" s="1">
        <v>325.739894891166</v>
      </c>
      <c r="I81" s="1">
        <v>326.154</v>
      </c>
      <c r="J81" s="1">
        <v>0.414105108834008</v>
      </c>
    </row>
    <row r="82" s="1" customFormat="1" spans="1:10">
      <c r="A82" s="1" t="s">
        <v>629</v>
      </c>
      <c r="B82" s="1">
        <v>8.3063</v>
      </c>
      <c r="C82" s="1" t="s">
        <v>630</v>
      </c>
      <c r="D82" s="1" t="s">
        <v>631</v>
      </c>
      <c r="E82" s="1" t="s">
        <v>632</v>
      </c>
      <c r="F82" s="1">
        <v>1</v>
      </c>
      <c r="G82" s="1">
        <v>1</v>
      </c>
      <c r="H82" s="1">
        <v>524.637167699819</v>
      </c>
      <c r="I82" s="1">
        <v>498.378</v>
      </c>
      <c r="J82" s="1">
        <v>26.2591676998189</v>
      </c>
    </row>
    <row r="83" s="1" customFormat="1" spans="1:10">
      <c r="A83" s="1" t="s">
        <v>633</v>
      </c>
      <c r="B83" s="1">
        <v>7.2411</v>
      </c>
      <c r="C83" s="1" t="s">
        <v>634</v>
      </c>
      <c r="D83" s="1" t="s">
        <v>635</v>
      </c>
      <c r="E83" s="1" t="s">
        <v>636</v>
      </c>
      <c r="F83" s="1">
        <v>2</v>
      </c>
      <c r="G83" s="1">
        <v>2</v>
      </c>
      <c r="H83" s="1">
        <v>442.155708144475</v>
      </c>
      <c r="I83" s="1">
        <v>434.466</v>
      </c>
      <c r="J83" s="1">
        <v>7.68970814447499</v>
      </c>
    </row>
    <row r="84" s="1" customFormat="1" spans="1:10">
      <c r="A84" s="1" t="s">
        <v>637</v>
      </c>
      <c r="B84" s="1">
        <v>12.0313</v>
      </c>
      <c r="C84" s="1" t="s">
        <v>638</v>
      </c>
      <c r="D84" s="1" t="s">
        <v>639</v>
      </c>
      <c r="E84" s="1" t="s">
        <v>640</v>
      </c>
      <c r="F84" s="1">
        <v>2</v>
      </c>
      <c r="G84" s="1">
        <v>1</v>
      </c>
      <c r="H84" s="1">
        <v>755.230637704981</v>
      </c>
      <c r="I84" s="1">
        <v>721.878</v>
      </c>
      <c r="J84" s="1">
        <v>33.3526377049809</v>
      </c>
    </row>
    <row r="85" s="1" customFormat="1" spans="1:10">
      <c r="A85" s="1" t="s">
        <v>641</v>
      </c>
      <c r="B85" s="1">
        <v>12.7448</v>
      </c>
      <c r="C85" s="1" t="s">
        <v>642</v>
      </c>
      <c r="D85" s="1" t="s">
        <v>643</v>
      </c>
      <c r="E85" s="1" t="s">
        <v>644</v>
      </c>
      <c r="F85" s="1">
        <v>30</v>
      </c>
      <c r="G85" s="1">
        <v>30</v>
      </c>
      <c r="H85" s="1">
        <v>687.016707749447</v>
      </c>
      <c r="I85" s="1">
        <v>764.688</v>
      </c>
      <c r="J85" s="1">
        <v>77.6712922505529</v>
      </c>
    </row>
    <row r="86" s="1" customFormat="1" spans="1:10">
      <c r="A86" s="1" t="s">
        <v>645</v>
      </c>
      <c r="B86" s="1">
        <v>23.1134</v>
      </c>
      <c r="C86" s="1" t="s">
        <v>646</v>
      </c>
      <c r="D86" s="1" t="s">
        <v>647</v>
      </c>
      <c r="E86" s="1" t="s">
        <v>648</v>
      </c>
      <c r="F86" s="1">
        <v>45</v>
      </c>
      <c r="G86" s="1">
        <v>10</v>
      </c>
      <c r="H86" s="20" t="s">
        <v>649</v>
      </c>
      <c r="I86" s="1">
        <v>1386.804</v>
      </c>
      <c r="J86" s="1">
        <v>160.35374530555</v>
      </c>
    </row>
    <row r="87" s="1" customFormat="1" spans="1:10">
      <c r="A87" s="1" t="s">
        <v>650</v>
      </c>
      <c r="B87" s="1">
        <v>8.2014</v>
      </c>
      <c r="C87" s="1" t="s">
        <v>651</v>
      </c>
      <c r="D87" s="1" t="s">
        <v>652</v>
      </c>
      <c r="E87" s="1" t="s">
        <v>653</v>
      </c>
      <c r="F87" s="1">
        <v>1</v>
      </c>
      <c r="G87" s="1">
        <v>1</v>
      </c>
      <c r="H87" s="1">
        <v>500.370806761998</v>
      </c>
      <c r="I87" s="1">
        <v>492.084</v>
      </c>
      <c r="J87" s="1">
        <v>8.28680676199804</v>
      </c>
    </row>
    <row r="88" s="1" customFormat="1" spans="1:10">
      <c r="A88" s="1" t="s">
        <v>654</v>
      </c>
      <c r="B88" s="1">
        <v>8.6694</v>
      </c>
      <c r="C88" s="1" t="s">
        <v>655</v>
      </c>
      <c r="D88" s="1" t="s">
        <v>656</v>
      </c>
      <c r="E88" s="1" t="s">
        <v>657</v>
      </c>
      <c r="G88" s="1" t="s">
        <v>413</v>
      </c>
      <c r="H88" s="1">
        <v>324.631617727211</v>
      </c>
      <c r="I88" s="1">
        <v>520.164</v>
      </c>
      <c r="J88" s="1">
        <v>195.532382272789</v>
      </c>
    </row>
    <row r="89" s="1" customFormat="1" spans="1:10">
      <c r="A89" s="1" t="s">
        <v>658</v>
      </c>
      <c r="B89" s="1">
        <v>10.6782</v>
      </c>
      <c r="C89" s="1" t="s">
        <v>659</v>
      </c>
      <c r="D89" s="1" t="s">
        <v>660</v>
      </c>
      <c r="E89" s="1" t="s">
        <v>661</v>
      </c>
      <c r="F89" s="1">
        <v>3</v>
      </c>
      <c r="G89" s="1">
        <v>2</v>
      </c>
      <c r="H89" s="1">
        <v>597.625979380897</v>
      </c>
      <c r="I89" s="1">
        <v>640.692</v>
      </c>
      <c r="J89" s="1">
        <v>43.066020619103</v>
      </c>
    </row>
    <row r="90" s="1" customFormat="1" spans="1:10">
      <c r="A90" s="1" t="s">
        <v>662</v>
      </c>
      <c r="B90" s="1">
        <v>4.8972</v>
      </c>
      <c r="C90" s="1" t="s">
        <v>663</v>
      </c>
      <c r="D90" s="1" t="s">
        <v>664</v>
      </c>
      <c r="E90" s="1" t="s">
        <v>665</v>
      </c>
      <c r="F90" s="1">
        <v>6</v>
      </c>
      <c r="G90" s="1">
        <v>2</v>
      </c>
      <c r="H90" s="1">
        <v>269.230576618324</v>
      </c>
      <c r="I90" s="1">
        <v>293.832</v>
      </c>
      <c r="J90" s="1">
        <v>24.601423381676</v>
      </c>
    </row>
    <row r="91" s="1" customFormat="1" spans="1:10">
      <c r="A91" s="1" t="s">
        <v>666</v>
      </c>
      <c r="B91" s="1">
        <v>3.5002</v>
      </c>
      <c r="C91" s="1" t="s">
        <v>667</v>
      </c>
      <c r="D91" s="1" t="s">
        <v>668</v>
      </c>
      <c r="E91" s="1" t="s">
        <v>669</v>
      </c>
      <c r="F91" s="1">
        <v>1</v>
      </c>
      <c r="G91" s="1">
        <v>1</v>
      </c>
      <c r="H91" s="1">
        <v>200.573834177741</v>
      </c>
      <c r="I91" s="1">
        <v>210.012</v>
      </c>
      <c r="J91" s="1">
        <v>9.43816582225901</v>
      </c>
    </row>
    <row r="92" s="1" customFormat="1" spans="1:10">
      <c r="A92" s="1" t="s">
        <v>670</v>
      </c>
      <c r="B92" s="1">
        <v>14.3625</v>
      </c>
      <c r="C92" s="1" t="s">
        <v>671</v>
      </c>
      <c r="D92" s="1" t="s">
        <v>672</v>
      </c>
      <c r="E92" s="1" t="s">
        <v>673</v>
      </c>
      <c r="F92" s="1">
        <v>36</v>
      </c>
      <c r="G92" s="1">
        <v>28</v>
      </c>
      <c r="H92" s="1">
        <v>903.294290087982</v>
      </c>
      <c r="I92" s="1">
        <v>861.75</v>
      </c>
      <c r="J92" s="1">
        <v>41.5442900879819</v>
      </c>
    </row>
    <row r="93" s="1" customFormat="1" spans="1:10">
      <c r="A93" s="1" t="s">
        <v>674</v>
      </c>
      <c r="B93" s="1">
        <v>3.5092</v>
      </c>
      <c r="C93" s="1" t="s">
        <v>675</v>
      </c>
      <c r="D93" s="1" t="s">
        <v>676</v>
      </c>
      <c r="E93" s="1" t="s">
        <v>677</v>
      </c>
      <c r="F93" s="1">
        <v>1</v>
      </c>
      <c r="G93" s="1">
        <v>1</v>
      </c>
      <c r="H93" s="1">
        <v>196.609595541884</v>
      </c>
      <c r="I93" s="1">
        <v>210.552</v>
      </c>
      <c r="J93" s="1">
        <v>13.942404458116</v>
      </c>
    </row>
    <row r="94" s="1" customFormat="1" spans="1:10">
      <c r="A94" s="1" t="s">
        <v>678</v>
      </c>
      <c r="B94" s="1">
        <v>15.3307</v>
      </c>
      <c r="C94" s="1" t="s">
        <v>679</v>
      </c>
      <c r="D94" s="1" t="s">
        <v>680</v>
      </c>
      <c r="E94" s="1" t="s">
        <v>681</v>
      </c>
      <c r="F94" s="1">
        <v>5</v>
      </c>
      <c r="G94" s="1">
        <v>1</v>
      </c>
      <c r="H94" s="1">
        <v>812.33752651261</v>
      </c>
      <c r="I94" s="1">
        <v>919.842</v>
      </c>
      <c r="J94" s="1">
        <v>107.50447348739</v>
      </c>
    </row>
    <row r="95" s="1" customFormat="1" spans="1:10">
      <c r="A95" s="1" t="s">
        <v>682</v>
      </c>
      <c r="B95" s="1">
        <v>15.3233</v>
      </c>
      <c r="C95" s="1" t="s">
        <v>683</v>
      </c>
      <c r="D95" s="1" t="s">
        <v>684</v>
      </c>
      <c r="E95" s="1" t="s">
        <v>685</v>
      </c>
      <c r="F95" s="1">
        <v>11</v>
      </c>
      <c r="G95" s="1">
        <v>10</v>
      </c>
      <c r="H95" s="1">
        <v>873.76471213901</v>
      </c>
      <c r="I95" s="1">
        <v>919.398</v>
      </c>
      <c r="J95" s="1">
        <v>45.63328786099</v>
      </c>
    </row>
    <row r="96" s="1" customFormat="1" spans="1:10">
      <c r="A96" s="1" t="s">
        <v>686</v>
      </c>
      <c r="B96" s="1">
        <v>7.9883</v>
      </c>
      <c r="C96" s="1" t="s">
        <v>687</v>
      </c>
      <c r="D96" s="1" t="s">
        <v>688</v>
      </c>
      <c r="E96" s="1" t="s">
        <v>689</v>
      </c>
      <c r="F96" s="1">
        <v>1</v>
      </c>
      <c r="G96" s="1">
        <v>1</v>
      </c>
      <c r="H96" s="1">
        <v>436.369626772221</v>
      </c>
      <c r="I96" s="1">
        <v>479.298</v>
      </c>
      <c r="J96" s="1">
        <v>42.928373227779</v>
      </c>
    </row>
    <row r="97" s="1" customFormat="1" spans="1:10">
      <c r="A97" s="1" t="s">
        <v>690</v>
      </c>
      <c r="B97" s="1">
        <v>11.6566</v>
      </c>
      <c r="C97" s="1" t="s">
        <v>691</v>
      </c>
      <c r="D97" s="1" t="s">
        <v>692</v>
      </c>
      <c r="E97" s="1" t="s">
        <v>693</v>
      </c>
      <c r="F97" s="1">
        <v>1</v>
      </c>
      <c r="G97" s="1">
        <v>1</v>
      </c>
      <c r="H97" s="1">
        <v>777.82441531826</v>
      </c>
      <c r="I97" s="1">
        <v>699.396</v>
      </c>
      <c r="J97" s="1">
        <v>78.42841531826</v>
      </c>
    </row>
    <row r="98" s="1" customFormat="1" spans="1:10">
      <c r="A98" s="1" t="s">
        <v>694</v>
      </c>
      <c r="B98" s="1">
        <v>6.8441</v>
      </c>
      <c r="C98" s="1" t="s">
        <v>695</v>
      </c>
      <c r="D98" s="1" t="s">
        <v>696</v>
      </c>
      <c r="E98" s="1" t="s">
        <v>697</v>
      </c>
      <c r="F98" s="1">
        <v>4</v>
      </c>
      <c r="G98" s="1">
        <v>4</v>
      </c>
      <c r="H98" s="1">
        <v>403.748142865363</v>
      </c>
      <c r="I98" s="1">
        <v>410.646</v>
      </c>
      <c r="J98" s="1">
        <v>6.89785713463704</v>
      </c>
    </row>
    <row r="99" s="1" customFormat="1" spans="1:10">
      <c r="A99" s="1" t="s">
        <v>698</v>
      </c>
      <c r="B99" s="1">
        <v>8.3312</v>
      </c>
      <c r="C99" s="1" t="s">
        <v>699</v>
      </c>
      <c r="D99" s="1" t="s">
        <v>700</v>
      </c>
      <c r="E99" s="1" t="s">
        <v>701</v>
      </c>
      <c r="F99" s="1">
        <v>41</v>
      </c>
      <c r="G99" s="1">
        <v>39</v>
      </c>
      <c r="H99" s="1">
        <v>640.791925362251</v>
      </c>
      <c r="I99" s="1">
        <v>499.872</v>
      </c>
      <c r="J99" s="1">
        <v>140.919925362251</v>
      </c>
    </row>
    <row r="100" s="1" customFormat="1" spans="1:10">
      <c r="A100" s="1" t="s">
        <v>702</v>
      </c>
      <c r="B100" s="1">
        <v>13.031</v>
      </c>
      <c r="C100" s="1" t="s">
        <v>703</v>
      </c>
      <c r="D100" s="1" t="s">
        <v>704</v>
      </c>
      <c r="E100" s="1" t="s">
        <v>705</v>
      </c>
      <c r="F100" s="1">
        <v>3</v>
      </c>
      <c r="G100" s="1">
        <v>3</v>
      </c>
      <c r="H100" s="1">
        <v>670.135376957206</v>
      </c>
      <c r="I100" s="1">
        <v>781.86</v>
      </c>
      <c r="J100" s="1">
        <v>111.724623042794</v>
      </c>
    </row>
    <row r="101" s="1" customFormat="1" spans="1:10">
      <c r="A101" s="1" t="s">
        <v>706</v>
      </c>
      <c r="B101" s="1">
        <v>10.7313</v>
      </c>
      <c r="C101" s="1" t="s">
        <v>707</v>
      </c>
      <c r="D101" s="1" t="s">
        <v>708</v>
      </c>
      <c r="E101" s="1" t="s">
        <v>709</v>
      </c>
      <c r="F101" s="1">
        <v>35</v>
      </c>
      <c r="G101" s="1">
        <v>25</v>
      </c>
      <c r="H101" s="1">
        <v>701.960293016523</v>
      </c>
      <c r="I101" s="1">
        <v>643.878</v>
      </c>
      <c r="J101" s="1">
        <v>58.0822930165231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Table Caption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纪宏超</dc:creator>
  <cp:lastModifiedBy>14700K</cp:lastModifiedBy>
  <dcterms:created xsi:type="dcterms:W3CDTF">2025-09-07T23:52:00Z</dcterms:created>
  <dcterms:modified xsi:type="dcterms:W3CDTF">2025-12-16T12:14:58Z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5096A9A256644F9D9625F57423CF321C_11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